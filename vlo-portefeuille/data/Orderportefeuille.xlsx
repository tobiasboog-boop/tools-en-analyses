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Vestigingen\VAN LOSSER\ORDERPORTEFEUILLE\Notifica\"/>
    </mc:Choice>
  </mc:AlternateContent>
  <xr:revisionPtr revIDLastSave="0" documentId="13_ncr:1_{5766E8CC-86F3-4D33-98DF-3C44523639A4}" xr6:coauthVersionLast="47" xr6:coauthVersionMax="47" xr10:uidLastSave="{00000000-0000-0000-0000-000000000000}"/>
  <bookViews>
    <workbookView xWindow="-120" yWindow="-120" windowWidth="29040" windowHeight="15720" xr2:uid="{296790B4-E838-47BB-ACEB-B5508734DD69}"/>
  </bookViews>
  <sheets>
    <sheet name="Totaal" sheetId="1" r:id="rId1"/>
    <sheet name="Afgeronde projecten 2023" sheetId="2" state="hidden" r:id="rId2"/>
  </sheets>
  <definedNames>
    <definedName name="_xlnm._FilterDatabase" localSheetId="1" hidden="1">'Afgeronde projecten 2023'!$A$1:$O$84</definedName>
    <definedName name="_xlnm._FilterDatabase" localSheetId="0" hidden="1">Totaal!$A$8:$M$90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H15" i="1"/>
  <c r="J20" i="1"/>
  <c r="J21" i="1"/>
  <c r="J73" i="1"/>
  <c r="J71" i="1"/>
  <c r="H74" i="1"/>
  <c r="H24" i="1"/>
  <c r="H42" i="1"/>
  <c r="H32" i="1"/>
  <c r="H80" i="1"/>
  <c r="H85" i="1"/>
  <c r="H16" i="1"/>
  <c r="H57" i="1"/>
  <c r="H27" i="1"/>
  <c r="H28" i="1"/>
  <c r="H63" i="1"/>
  <c r="H64" i="1"/>
  <c r="H31" i="1"/>
  <c r="H25" i="1"/>
  <c r="H43" i="1"/>
  <c r="H54" i="1"/>
  <c r="H38" i="1"/>
  <c r="H37" i="1"/>
  <c r="H84" i="1"/>
  <c r="H83" i="1"/>
  <c r="H30" i="1"/>
  <c r="H78" i="1"/>
  <c r="H12" i="1"/>
  <c r="H13" i="1"/>
  <c r="H67" i="1"/>
  <c r="H68" i="1"/>
  <c r="H33" i="1"/>
  <c r="H58" i="1"/>
  <c r="H10" i="1"/>
  <c r="H11" i="1"/>
  <c r="H65" i="1"/>
  <c r="H66" i="1"/>
  <c r="H35" i="1"/>
  <c r="H36" i="1"/>
  <c r="H81" i="1"/>
  <c r="H82" i="1"/>
  <c r="H88" i="1"/>
  <c r="H89" i="1"/>
  <c r="H17" i="1"/>
  <c r="H18" i="1"/>
  <c r="H69" i="1"/>
  <c r="H70" i="1"/>
  <c r="H34" i="1"/>
  <c r="H59" i="1"/>
  <c r="H22" i="1"/>
  <c r="H79" i="1"/>
  <c r="H19" i="1"/>
  <c r="H14" i="1"/>
  <c r="H26" i="1"/>
  <c r="H29" i="1"/>
  <c r="H47" i="1"/>
  <c r="H51" i="1"/>
  <c r="H72" i="1"/>
  <c r="H75" i="1"/>
  <c r="H87" i="1"/>
  <c r="H9" i="1"/>
  <c r="H23" i="1"/>
  <c r="H39" i="1"/>
  <c r="H40" i="1"/>
  <c r="H41" i="1"/>
  <c r="H44" i="1"/>
  <c r="H45" i="1"/>
  <c r="H46" i="1"/>
  <c r="H48" i="1"/>
  <c r="H49" i="1"/>
  <c r="H50" i="1"/>
  <c r="H52" i="1"/>
  <c r="H53" i="1"/>
  <c r="H55" i="1"/>
  <c r="H60" i="1"/>
  <c r="H62" i="1"/>
  <c r="H76" i="1"/>
  <c r="H77" i="1"/>
  <c r="H86" i="1"/>
  <c r="H73" i="1" l="1"/>
  <c r="H71" i="1"/>
  <c r="H21" i="1"/>
  <c r="H20" i="1"/>
</calcChain>
</file>

<file path=xl/sharedStrings.xml><?xml version="1.0" encoding="utf-8"?>
<sst xmlns="http://schemas.openxmlformats.org/spreadsheetml/2006/main" count="1288" uniqueCount="280">
  <si>
    <t>Categorie</t>
  </si>
  <si>
    <t>Meerwerk</t>
  </si>
  <si>
    <t>Vestiging</t>
  </si>
  <si>
    <t>E/W</t>
  </si>
  <si>
    <t>Projectnummer</t>
  </si>
  <si>
    <t>Naam</t>
  </si>
  <si>
    <t>Plaatsnaam</t>
  </si>
  <si>
    <t>Opdrachtgever</t>
  </si>
  <si>
    <t>Gestart</t>
  </si>
  <si>
    <t>Start weeknummer</t>
  </si>
  <si>
    <t>TOTAAL</t>
  </si>
  <si>
    <t>Eenmalig project</t>
  </si>
  <si>
    <t>Nee</t>
  </si>
  <si>
    <t>Berger</t>
  </si>
  <si>
    <t>E</t>
  </si>
  <si>
    <t>28 woningen Noorderhaven Zeewolde</t>
  </si>
  <si>
    <t>Zeewolde</t>
  </si>
  <si>
    <t>van Norel</t>
  </si>
  <si>
    <t>Ja</t>
  </si>
  <si>
    <t>40-2022</t>
  </si>
  <si>
    <t>374 won Almere</t>
  </si>
  <si>
    <t>Almere</t>
  </si>
  <si>
    <t>Vastbouw</t>
  </si>
  <si>
    <t>2-2021</t>
  </si>
  <si>
    <t>24 woningen Achterveld</t>
  </si>
  <si>
    <t>Achterveld</t>
  </si>
  <si>
    <t>Koopmans</t>
  </si>
  <si>
    <t>45-2022</t>
  </si>
  <si>
    <t>Muiden</t>
  </si>
  <si>
    <t>Lichtenberg</t>
  </si>
  <si>
    <t>8 woningen Muiden</t>
  </si>
  <si>
    <t>19-2022</t>
  </si>
  <si>
    <t>5 woningen Austerlitz</t>
  </si>
  <si>
    <t>Austerlitz</t>
  </si>
  <si>
    <t>19-2023</t>
  </si>
  <si>
    <t>20 recreatiewoningen Noordwijkerhout Roompot</t>
  </si>
  <si>
    <t>Noordwijkerhout</t>
  </si>
  <si>
    <t>Van Wijnen</t>
  </si>
  <si>
    <t>39-2022</t>
  </si>
  <si>
    <t>8-2023</t>
  </si>
  <si>
    <t>66 app campus</t>
  </si>
  <si>
    <t>Lelystad</t>
  </si>
  <si>
    <t>Plegt-vos</t>
  </si>
  <si>
    <t>50-2022</t>
  </si>
  <si>
    <t>23 won Nunspeet</t>
  </si>
  <si>
    <t>Nunspeet</t>
  </si>
  <si>
    <t>47-2022</t>
  </si>
  <si>
    <t>Dura vermeer</t>
  </si>
  <si>
    <t>Onbekend</t>
  </si>
  <si>
    <t>Jaarlijks wederkerend</t>
  </si>
  <si>
    <t>NVT</t>
  </si>
  <si>
    <t>Diversen</t>
  </si>
  <si>
    <t>Bowa</t>
  </si>
  <si>
    <t>W</t>
  </si>
  <si>
    <t>Ter Steege</t>
  </si>
  <si>
    <t>116 Appingedam</t>
  </si>
  <si>
    <t>Appingedam</t>
  </si>
  <si>
    <t>Nijhuis</t>
  </si>
  <si>
    <t>9-2022</t>
  </si>
  <si>
    <t>Groningen</t>
  </si>
  <si>
    <t>24-2022</t>
  </si>
  <si>
    <t>34 woningen Brouwerij Hengelo</t>
  </si>
  <si>
    <t>Hengelo</t>
  </si>
  <si>
    <t>27-2022</t>
  </si>
  <si>
    <t xml:space="preserve">46 Bronswoningen </t>
  </si>
  <si>
    <t>16 Wildervank</t>
  </si>
  <si>
    <t>Wildervank</t>
  </si>
  <si>
    <t>Hesco Bouw</t>
  </si>
  <si>
    <t>5-2022</t>
  </si>
  <si>
    <t>12 Wildervank</t>
  </si>
  <si>
    <t>22-2022</t>
  </si>
  <si>
    <t>29-2023</t>
  </si>
  <si>
    <t>Stadskanaal</t>
  </si>
  <si>
    <t>16-2023</t>
  </si>
  <si>
    <t>Verb uitbreiding Maarsheerd</t>
  </si>
  <si>
    <t>28-2023</t>
  </si>
  <si>
    <t>Selekthuis 2023</t>
  </si>
  <si>
    <t>Selekt</t>
  </si>
  <si>
    <t>Dijkink</t>
  </si>
  <si>
    <t>60 appartementen fase 2</t>
  </si>
  <si>
    <t>Marum</t>
  </si>
  <si>
    <t>18-2021</t>
  </si>
  <si>
    <t>Amsterdam</t>
  </si>
  <si>
    <t>Wessels</t>
  </si>
  <si>
    <t>38-2022</t>
  </si>
  <si>
    <t>Arnhem</t>
  </si>
  <si>
    <t>Nikkels</t>
  </si>
  <si>
    <t>27 app Lelystad - Uitbreiding PV installatie</t>
  </si>
  <si>
    <t>4-2022</t>
  </si>
  <si>
    <t>24+12 woningen Wageningen</t>
  </si>
  <si>
    <t>Wageningen</t>
  </si>
  <si>
    <t>Veluwezoom Verkerk</t>
  </si>
  <si>
    <t>43-2022</t>
  </si>
  <si>
    <t>Rhenen</t>
  </si>
  <si>
    <t>14+5 woningen Deventer (pr nr. 3318+5148)</t>
  </si>
  <si>
    <t>Deventer</t>
  </si>
  <si>
    <t>Hostel</t>
  </si>
  <si>
    <t>Zwolle</t>
  </si>
  <si>
    <t>Gebr. Meijer</t>
  </si>
  <si>
    <t>6-2022</t>
  </si>
  <si>
    <t xml:space="preserve">21 het Lint Leesten </t>
  </si>
  <si>
    <t>Zutphen</t>
  </si>
  <si>
    <t>Mijn inziens klopt deze van Syntess, in kolom 'Q' is namelijk meerwerk ook meegenomen, maar deze staat al apart in regel 74</t>
  </si>
  <si>
    <t xml:space="preserve">20 en 22 won. Ewijk / Hof van Campe </t>
  </si>
  <si>
    <t>Ewijk</t>
  </si>
  <si>
    <t>Klok</t>
  </si>
  <si>
    <t>26-2022</t>
  </si>
  <si>
    <t>Productie kantoor Voortman</t>
  </si>
  <si>
    <t>Rijssen</t>
  </si>
  <si>
    <t>Voortman</t>
  </si>
  <si>
    <t>15-2022</t>
  </si>
  <si>
    <t>Woning Mark Voortman</t>
  </si>
  <si>
    <t>44-2022</t>
  </si>
  <si>
    <t>38 woningen Oranjebuurt Zelhem</t>
  </si>
  <si>
    <t>Zelhem</t>
  </si>
  <si>
    <t>12-2023</t>
  </si>
  <si>
    <t>13 + 6 won. De Wingerd, fase 3</t>
  </si>
  <si>
    <t>Apeldoorn</t>
  </si>
  <si>
    <t>20 won Bebo 't Kempke Haaksbergen</t>
  </si>
  <si>
    <t>Haaksbergen</t>
  </si>
  <si>
    <t>Trebbe</t>
  </si>
  <si>
    <t>25-2023</t>
  </si>
  <si>
    <t>29 won Graven Es Veld 10A Oldenzaal</t>
  </si>
  <si>
    <t>Oldenzaal</t>
  </si>
  <si>
    <t>4-2023</t>
  </si>
  <si>
    <t>Laadstations</t>
  </si>
  <si>
    <t>25-2022</t>
  </si>
  <si>
    <t>2-2023</t>
  </si>
  <si>
    <t>Remo uitbreiding</t>
  </si>
  <si>
    <t>36-2022</t>
  </si>
  <si>
    <t>38 won Best/Aarlesche Erven</t>
  </si>
  <si>
    <t>Best</t>
  </si>
  <si>
    <t>48-2022</t>
  </si>
  <si>
    <t>Silvolde</t>
  </si>
  <si>
    <t>16 huurwoningen (2de locatie) Brummen</t>
  </si>
  <si>
    <t>Brummen</t>
  </si>
  <si>
    <t>49-2022</t>
  </si>
  <si>
    <t>Kerk Avezaath</t>
  </si>
  <si>
    <t>21-2023</t>
  </si>
  <si>
    <t>Holterman progress</t>
  </si>
  <si>
    <t>Markelo</t>
  </si>
  <si>
    <t>13-2023</t>
  </si>
  <si>
    <t>Westervoort</t>
  </si>
  <si>
    <t>4034-4037 (1890)</t>
  </si>
  <si>
    <t>142 won Geertruidentuin Deventer</t>
  </si>
  <si>
    <t>Wederkerend klein werk/klantenwerk</t>
  </si>
  <si>
    <t>Selekthuis</t>
  </si>
  <si>
    <t>Dijkink beveiliging</t>
  </si>
  <si>
    <t>20-2022</t>
  </si>
  <si>
    <t>Hummel</t>
  </si>
  <si>
    <t>Verbouwing uitbreiding Maarsheerd</t>
  </si>
  <si>
    <t>Hummel beveiliging</t>
  </si>
  <si>
    <t>Diverse projecten</t>
  </si>
  <si>
    <t>Onderhoud alarm</t>
  </si>
  <si>
    <t>Jansen</t>
  </si>
  <si>
    <t>Regiewerk</t>
  </si>
  <si>
    <t>Regiewerk 2</t>
  </si>
  <si>
    <t>JGM</t>
  </si>
  <si>
    <t>v/d Zwaan</t>
  </si>
  <si>
    <t>Van der Zwaan</t>
  </si>
  <si>
    <t>29-2022</t>
  </si>
  <si>
    <t>35-2023</t>
  </si>
  <si>
    <t>M&amp;O</t>
  </si>
  <si>
    <t>Wormer</t>
  </si>
  <si>
    <t>Villa Hamdani</t>
  </si>
  <si>
    <t>18-2022</t>
  </si>
  <si>
    <t>v.d Gragt</t>
  </si>
  <si>
    <t>34+31 woningen Warmenhuizen</t>
  </si>
  <si>
    <t>Warmenhuizen</t>
  </si>
  <si>
    <t>35-2022</t>
  </si>
  <si>
    <t>Zaandam</t>
  </si>
  <si>
    <t>Johan Pater proj Aventuur</t>
  </si>
  <si>
    <t>Avenhorn</t>
  </si>
  <si>
    <t>HECON</t>
  </si>
  <si>
    <t>59 woningen Bannehoven Zaandijk</t>
  </si>
  <si>
    <t>Zaandijk</t>
  </si>
  <si>
    <t>T&amp;G</t>
  </si>
  <si>
    <t>21-2022</t>
  </si>
  <si>
    <t>82 app Bannehoven Zaandijk</t>
  </si>
  <si>
    <t>Best en Dekker</t>
  </si>
  <si>
    <t>De jong Ursem</t>
  </si>
  <si>
    <t>19493/4563</t>
  </si>
  <si>
    <t>Olenex</t>
  </si>
  <si>
    <t>Rotterdam</t>
  </si>
  <si>
    <t>Baderie</t>
  </si>
  <si>
    <t>O&amp;D</t>
  </si>
  <si>
    <t>66 woningen Rosmalen</t>
  </si>
  <si>
    <t>Rosmalen</t>
  </si>
  <si>
    <t>35-2021</t>
  </si>
  <si>
    <t>8 won Muiden</t>
  </si>
  <si>
    <t>24 app + 12 won Wageningen</t>
  </si>
  <si>
    <t>5 won Auserlitz</t>
  </si>
  <si>
    <t>19 koopwoningen de wingerd Apeldoorn</t>
  </si>
  <si>
    <t>15 de Tippe Veld E5</t>
  </si>
  <si>
    <t xml:space="preserve">20 BeBo Kempke Haaksbergen </t>
  </si>
  <si>
    <t>20-2023</t>
  </si>
  <si>
    <t>29 woningen Graven Es Oldenzaal</t>
  </si>
  <si>
    <t>36 woningen Rosmalen 3e fase</t>
  </si>
  <si>
    <t>17-2022</t>
  </si>
  <si>
    <t>66 appartementen centrada Lelystad</t>
  </si>
  <si>
    <t>6 won. Westervoort</t>
  </si>
  <si>
    <t>8 woningen Reeënstraat Silvolde</t>
  </si>
  <si>
    <t>18 woningen Malburgen Arnhem</t>
  </si>
  <si>
    <t>16 Woningen Brummen</t>
  </si>
  <si>
    <t>Schans</t>
  </si>
  <si>
    <t>36 App Brooklyn Almere A5</t>
  </si>
  <si>
    <t>28-2022</t>
  </si>
  <si>
    <t>23 woningen Nunspeet</t>
  </si>
  <si>
    <t>Thermos</t>
  </si>
  <si>
    <t>Jetbrains</t>
  </si>
  <si>
    <t>D/Dock</t>
  </si>
  <si>
    <t>3-2022</t>
  </si>
  <si>
    <t>Utrecht</t>
  </si>
  <si>
    <t>127 app Baak Amsterdam</t>
  </si>
  <si>
    <t>40-2021</t>
  </si>
  <si>
    <t>763.21</t>
  </si>
  <si>
    <t>SuitSupply - Verbouw 1e verd.</t>
  </si>
  <si>
    <t>Van Losser Rijssen</t>
  </si>
  <si>
    <t>Vastbouw 374 won almere 2440</t>
  </si>
  <si>
    <t>Vervangen warmtepompen eusebiushof</t>
  </si>
  <si>
    <t>Breederland</t>
  </si>
  <si>
    <t>Willekes</t>
  </si>
  <si>
    <t>18 won Leerdam</t>
  </si>
  <si>
    <t>Leerdam</t>
  </si>
  <si>
    <t>Van der Helden</t>
  </si>
  <si>
    <t>kantoor vd velden buren</t>
  </si>
  <si>
    <t>Buren</t>
  </si>
  <si>
    <t>36+3 woningen Kerk Avezaath/Teisterbant</t>
  </si>
  <si>
    <t>Tiel</t>
  </si>
  <si>
    <t xml:space="preserve">Overzicht omzet </t>
  </si>
  <si>
    <t>Vaassen</t>
  </si>
  <si>
    <t>nee</t>
  </si>
  <si>
    <t>Wanroij</t>
  </si>
  <si>
    <t>IBB</t>
  </si>
  <si>
    <t>ntb</t>
  </si>
  <si>
    <t>Etten</t>
  </si>
  <si>
    <t>klein klantenwerk</t>
  </si>
  <si>
    <t>Prefab</t>
  </si>
  <si>
    <t>Hardewijk</t>
  </si>
  <si>
    <t>Heerde</t>
  </si>
  <si>
    <t>Zetten</t>
  </si>
  <si>
    <t>Beneden-Leeuwen</t>
  </si>
  <si>
    <t>Schoots</t>
  </si>
  <si>
    <t>D&amp;K installaties</t>
  </si>
  <si>
    <t>Krechting</t>
  </si>
  <si>
    <t>Project 1</t>
  </si>
  <si>
    <t>Project 2</t>
  </si>
  <si>
    <t>Opdrachtgever A</t>
  </si>
  <si>
    <t>Opdrachtgever B</t>
  </si>
  <si>
    <t>Project 3</t>
  </si>
  <si>
    <t>Opdrachtgever C</t>
  </si>
  <si>
    <t>Project 4</t>
  </si>
  <si>
    <t>Opdrachtgever D</t>
  </si>
  <si>
    <t>Project 5</t>
  </si>
  <si>
    <t>Project 6 - fase 2</t>
  </si>
  <si>
    <t>Project 6 - fase 1</t>
  </si>
  <si>
    <t>Project 7 - fase 3</t>
  </si>
  <si>
    <t>Project 7 - fase 4</t>
  </si>
  <si>
    <t>Project 7 - fase 5</t>
  </si>
  <si>
    <t>Project 8</t>
  </si>
  <si>
    <t>Project 9</t>
  </si>
  <si>
    <t>Opdrachtgever E</t>
  </si>
  <si>
    <t>Project 10 - fase 3</t>
  </si>
  <si>
    <t>Project 10 - fase 2</t>
  </si>
  <si>
    <t>Project 11</t>
  </si>
  <si>
    <t>Project 12</t>
  </si>
  <si>
    <t>Opdrachtgever G</t>
  </si>
  <si>
    <t>Project 13</t>
  </si>
  <si>
    <t>Project 14</t>
  </si>
  <si>
    <t>Project 15</t>
  </si>
  <si>
    <t>Verzameling nieuwbouw/villabouw</t>
  </si>
  <si>
    <t>Klein klantenwerk</t>
  </si>
  <si>
    <t>Totaal (nieuwe vestiging)</t>
  </si>
  <si>
    <t>Verduurzaming</t>
  </si>
  <si>
    <t>Opdrachtgever O</t>
  </si>
  <si>
    <t>Project 20</t>
  </si>
  <si>
    <t>Opdrachtgever P</t>
  </si>
  <si>
    <t>Project 19 - fase 2</t>
  </si>
  <si>
    <t>Project 18</t>
  </si>
  <si>
    <t>Project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</si>
</sst>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_ &quot;€&quot;\ * #,##0_ ;_ &quot;€&quot;\ * \-#,##0_ ;_ &quot;€&quot;\ * &quot;-&quot;??_ ;_ @_ 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D9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E5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NumberFormat="1" applyFont="1"/>
    <xf numFmtId="0" fontId="2" fillId="6" borderId="2" xfId="0" applyFont="1" applyFill="1" applyBorder="1" applyAlignment="1">
      <alignment horizontal="center"/>
    </xf>
    <xf numFmtId="0" fontId="2" fillId="0" borderId="3" xfId="0" applyFont="1" applyBorder="1"/>
    <xf numFmtId="164" fontId="2" fillId="2" borderId="1" xfId="1" applyNumberFormat="1" applyFont="1" applyFill="1" applyBorder="1" applyAlignment="1">
      <alignment horizontal="center"/>
    </xf>
    <xf numFmtId="1" fontId="2" fillId="3" borderId="1" xfId="1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0" fillId="0" borderId="0" xfId="1" applyNumberFormat="1" applyFont="1" applyFill="1"/>
    <xf numFmtId="0" fontId="0" fillId="0" borderId="0" xfId="0" applyAlignment="1">
      <alignment horizontal="left"/>
    </xf>
    <xf numFmtId="0" fontId="2" fillId="0" borderId="3" xfId="0" applyFont="1" applyBorder="1" applyAlignment="1">
      <alignment horizontal="left"/>
    </xf>
    <xf numFmtId="164" fontId="0" fillId="2" borderId="4" xfId="1" applyNumberFormat="1" applyFont="1" applyFill="1" applyBorder="1"/>
    <xf numFmtId="164" fontId="0" fillId="6" borderId="7" xfId="1" applyNumberFormat="1" applyFont="1" applyFill="1" applyBorder="1"/>
    <xf numFmtId="164" fontId="0" fillId="2" borderId="8" xfId="1" applyNumberFormat="1" applyFont="1" applyFill="1" applyBorder="1"/>
    <xf numFmtId="164" fontId="0" fillId="6" borderId="9" xfId="1" applyNumberFormat="1" applyFont="1" applyFill="1" applyBorder="1"/>
    <xf numFmtId="164" fontId="0" fillId="3" borderId="4" xfId="1" applyNumberFormat="1" applyFont="1" applyFill="1" applyBorder="1"/>
    <xf numFmtId="164" fontId="0" fillId="5" borderId="7" xfId="1" applyNumberFormat="1" applyFont="1" applyFill="1" applyBorder="1"/>
    <xf numFmtId="164" fontId="0" fillId="3" borderId="8" xfId="1" applyNumberFormat="1" applyFont="1" applyFill="1" applyBorder="1"/>
    <xf numFmtId="164" fontId="0" fillId="5" borderId="9" xfId="1" applyNumberFormat="1" applyFont="1" applyFill="1" applyBorder="1"/>
    <xf numFmtId="164" fontId="0" fillId="4" borderId="5" xfId="1" applyNumberFormat="1" applyFont="1" applyFill="1" applyBorder="1"/>
    <xf numFmtId="164" fontId="0" fillId="4" borderId="10" xfId="1" applyNumberFormat="1" applyFont="1" applyFill="1" applyBorder="1"/>
    <xf numFmtId="14" fontId="0" fillId="0" borderId="0" xfId="0" applyNumberFormat="1" applyAlignment="1">
      <alignment horizontal="left"/>
    </xf>
    <xf numFmtId="164" fontId="0" fillId="0" borderId="0" xfId="1" applyNumberFormat="1" applyFont="1" applyFill="1" applyBorder="1"/>
    <xf numFmtId="0" fontId="2" fillId="0" borderId="6" xfId="0" applyFont="1" applyBorder="1"/>
    <xf numFmtId="0" fontId="0" fillId="7" borderId="0" xfId="0" applyFill="1"/>
    <xf numFmtId="0" fontId="3" fillId="0" borderId="0" xfId="0" applyFont="1"/>
    <xf numFmtId="164" fontId="0" fillId="6" borderId="10" xfId="1" applyNumberFormat="1" applyFont="1" applyFill="1" applyBorder="1"/>
    <xf numFmtId="0" fontId="2" fillId="0" borderId="0" xfId="0" applyFont="1"/>
    <xf numFmtId="164" fontId="0" fillId="2" borderId="10" xfId="1" applyNumberFormat="1" applyFont="1" applyFill="1" applyBorder="1"/>
    <xf numFmtId="164" fontId="2" fillId="0" borderId="0" xfId="1" applyNumberFormat="1" applyFont="1" applyFill="1"/>
    <xf numFmtId="164" fontId="0" fillId="5" borderId="10" xfId="1" applyNumberFormat="1" applyFont="1" applyFill="1" applyBorder="1"/>
    <xf numFmtId="0" fontId="4" fillId="0" borderId="0" xfId="0" applyFont="1"/>
    <xf numFmtId="0" fontId="2" fillId="8" borderId="2" xfId="0" applyFont="1" applyFill="1" applyBorder="1" applyAlignment="1">
      <alignment horizontal="center"/>
    </xf>
    <xf numFmtId="164" fontId="0" fillId="8" borderId="10" xfId="1" applyNumberFormat="1" applyFont="1" applyFill="1" applyBorder="1"/>
    <xf numFmtId="1" fontId="0" fillId="0" borderId="0" xfId="1" applyNumberFormat="1" applyFont="1" applyFill="1"/>
    <xf numFmtId="0" fontId="2" fillId="3" borderId="2" xfId="0" applyFont="1" applyFill="1" applyBorder="1" applyAlignment="1">
      <alignment horizontal="center"/>
    </xf>
    <xf numFmtId="164" fontId="0" fillId="3" borderId="10" xfId="1" applyNumberFormat="1" applyFont="1" applyFill="1" applyBorder="1"/>
    <xf numFmtId="0" fontId="2" fillId="9" borderId="2" xfId="0" applyFont="1" applyFill="1" applyBorder="1" applyAlignment="1">
      <alignment horizontal="center"/>
    </xf>
    <xf numFmtId="164" fontId="0" fillId="9" borderId="10" xfId="1" applyNumberFormat="1" applyFont="1" applyFill="1" applyBorder="1"/>
    <xf numFmtId="165" fontId="0" fillId="0" borderId="0" xfId="2" applyNumberFormat="1" applyFont="1" applyFill="1"/>
    <xf numFmtId="0" fontId="5" fillId="0" borderId="0" xfId="0" applyFont="1"/>
    <xf numFmtId="164" fontId="2" fillId="0" borderId="0" xfId="1" applyNumberFormat="1" applyFont="1" applyFill="1" applyBorder="1"/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quotePrefix="1" applyFill="1"/>
  </cellXfs>
  <cellStyles count="3">
    <cellStyle name="Procent" xfId="2" builtinId="5"/>
    <cellStyle name="Standaard" xfId="0" builtinId="0"/>
    <cellStyle name="Valuta" xfId="1" builtinId="4"/>
  </cellStyles>
  <dxfs count="0"/>
  <tableStyles count="0" defaultTableStyle="TableStyleMedium2" defaultPivotStyle="PivotStyleLight16"/>
  <colors>
    <mruColors>
      <color rgb="FFF4E5FF"/>
      <color rgb="FFFAEBFF"/>
      <color rgb="FFF1EBFF"/>
      <color rgb="FFE4D9FF"/>
      <color rgb="FFECD9FB"/>
      <color rgb="FFF7EFFF"/>
      <color rgb="FFE6CDFF"/>
      <color rgb="FFD9FFF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6A8C-473C-4C55-8D06-6B5E480B9A6B}">
  <dimension ref="A2:V100"/>
  <sheetViews>
    <sheetView showGridLines="0" tabSelected="1" zoomScaleNormal="100" zoomScaleSheetLayoutView="106" workbookViewId="0">
      <selection activeCell="E19" sqref="E19"/>
    </sheetView>
  </sheetViews>
  <sheetFormatPr defaultColWidth="9.140625" defaultRowHeight="15" x14ac:dyDescent="0.25"/>
  <cols>
    <col min="1" max="1" width="20.7109375" bestFit="1" customWidth="1"/>
    <col min="2" max="2" width="10.28515625" bestFit="1" customWidth="1"/>
    <col min="3" max="3" width="19.140625" bestFit="1" customWidth="1"/>
    <col min="4" max="4" width="12.85546875" style="9" customWidth="1"/>
    <col min="5" max="5" width="45" customWidth="1"/>
    <col min="6" max="6" width="21.5703125" customWidth="1"/>
    <col min="7" max="7" width="25" customWidth="1"/>
    <col min="8" max="8" width="16.140625" style="8" bestFit="1" customWidth="1"/>
    <col min="9" max="9" width="15" style="8" bestFit="1" customWidth="1"/>
    <col min="10" max="10" width="14.85546875" style="8" bestFit="1" customWidth="1"/>
    <col min="11" max="12" width="15.140625" style="8" bestFit="1" customWidth="1"/>
    <col min="13" max="13" width="16.5703125" bestFit="1" customWidth="1"/>
  </cols>
  <sheetData>
    <row r="2" spans="1:22" x14ac:dyDescent="0.25">
      <c r="B2" s="31"/>
      <c r="F2" s="8"/>
      <c r="G2" s="8"/>
    </row>
    <row r="3" spans="1:22" x14ac:dyDescent="0.25">
      <c r="D3" s="42"/>
      <c r="E3" s="43"/>
      <c r="F3" s="8"/>
      <c r="G3" s="8"/>
    </row>
    <row r="4" spans="1:22" x14ac:dyDescent="0.25">
      <c r="D4" s="42"/>
      <c r="E4" s="42"/>
      <c r="F4" s="8"/>
      <c r="G4" s="8"/>
    </row>
    <row r="5" spans="1:22" ht="15.75" x14ac:dyDescent="0.25">
      <c r="A5" s="25" t="s">
        <v>229</v>
      </c>
      <c r="D5" s="42"/>
      <c r="E5" s="43"/>
      <c r="F5" s="44"/>
      <c r="G5" s="42"/>
    </row>
    <row r="6" spans="1:22" x14ac:dyDescent="0.25">
      <c r="D6" s="42"/>
      <c r="E6" s="43"/>
      <c r="F6" s="8"/>
      <c r="G6" s="43"/>
      <c r="I6" s="39"/>
    </row>
    <row r="7" spans="1:22" ht="15.75" thickBot="1" x14ac:dyDescent="0.3"/>
    <row r="8" spans="1:22" ht="15.75" thickBot="1" x14ac:dyDescent="0.3">
      <c r="A8" s="3" t="s">
        <v>0</v>
      </c>
      <c r="B8" s="3" t="s">
        <v>1</v>
      </c>
      <c r="C8" s="3" t="s">
        <v>2</v>
      </c>
      <c r="D8" s="10" t="s">
        <v>4</v>
      </c>
      <c r="E8" s="3" t="s">
        <v>5</v>
      </c>
      <c r="F8" s="3" t="s">
        <v>6</v>
      </c>
      <c r="G8" s="3" t="s">
        <v>7</v>
      </c>
      <c r="H8" s="4" t="s">
        <v>10</v>
      </c>
      <c r="I8" s="6">
        <v>2026</v>
      </c>
      <c r="J8" s="2">
        <v>2027</v>
      </c>
      <c r="K8" s="32">
        <v>2028</v>
      </c>
      <c r="L8" s="37">
        <v>2029</v>
      </c>
      <c r="M8" s="35">
        <v>2030</v>
      </c>
    </row>
    <row r="9" spans="1:22" x14ac:dyDescent="0.25">
      <c r="A9" t="s">
        <v>49</v>
      </c>
      <c r="B9" t="s">
        <v>12</v>
      </c>
      <c r="C9" t="s">
        <v>13</v>
      </c>
      <c r="D9" s="9" t="s">
        <v>50</v>
      </c>
      <c r="E9" t="s">
        <v>271</v>
      </c>
      <c r="F9" t="s">
        <v>51</v>
      </c>
      <c r="G9" t="s">
        <v>51</v>
      </c>
      <c r="H9" s="28">
        <f>SUM(I9:M9)</f>
        <v>262816.42578124994</v>
      </c>
      <c r="I9" s="30">
        <v>50000</v>
      </c>
      <c r="J9" s="26">
        <v>51249.999999999993</v>
      </c>
      <c r="K9" s="33">
        <v>52531.249999999985</v>
      </c>
      <c r="L9" s="38">
        <v>53844.531249999978</v>
      </c>
      <c r="M9" s="36">
        <v>55190.644531249971</v>
      </c>
    </row>
    <row r="10" spans="1:22" x14ac:dyDescent="0.25">
      <c r="A10" t="s">
        <v>11</v>
      </c>
      <c r="B10" t="s">
        <v>1</v>
      </c>
      <c r="C10" t="s">
        <v>13</v>
      </c>
      <c r="D10" s="9">
        <v>8119</v>
      </c>
      <c r="E10" t="s">
        <v>262</v>
      </c>
      <c r="F10" t="s">
        <v>25</v>
      </c>
      <c r="G10" t="s">
        <v>261</v>
      </c>
      <c r="H10" s="28">
        <f>SUM(I10:M10)</f>
        <v>65000</v>
      </c>
      <c r="I10" s="30">
        <v>0</v>
      </c>
      <c r="J10" s="26">
        <v>65000</v>
      </c>
      <c r="K10" s="33">
        <v>0</v>
      </c>
      <c r="L10" s="38">
        <v>0</v>
      </c>
      <c r="M10" s="36">
        <v>0</v>
      </c>
    </row>
    <row r="11" spans="1:22" x14ac:dyDescent="0.25">
      <c r="A11" t="s">
        <v>11</v>
      </c>
      <c r="B11" t="s">
        <v>12</v>
      </c>
      <c r="C11" t="s">
        <v>13</v>
      </c>
      <c r="D11" s="9">
        <v>8119</v>
      </c>
      <c r="E11" t="s">
        <v>262</v>
      </c>
      <c r="F11" t="s">
        <v>25</v>
      </c>
      <c r="G11" t="s">
        <v>261</v>
      </c>
      <c r="H11" s="28">
        <f>SUM(I11:M11)</f>
        <v>360099</v>
      </c>
      <c r="I11" s="30">
        <v>150000</v>
      </c>
      <c r="J11" s="26">
        <v>210099</v>
      </c>
      <c r="K11" s="33">
        <v>0</v>
      </c>
      <c r="L11" s="38">
        <v>0</v>
      </c>
      <c r="M11" s="36">
        <v>0</v>
      </c>
    </row>
    <row r="12" spans="1:22" x14ac:dyDescent="0.25">
      <c r="A12" t="s">
        <v>11</v>
      </c>
      <c r="B12" t="s">
        <v>12</v>
      </c>
      <c r="C12" t="s">
        <v>13</v>
      </c>
      <c r="D12" s="9">
        <v>7692</v>
      </c>
      <c r="E12" t="s">
        <v>264</v>
      </c>
      <c r="F12" t="s">
        <v>16</v>
      </c>
      <c r="G12" t="s">
        <v>261</v>
      </c>
      <c r="H12" s="28">
        <f>SUM(I12:M12)</f>
        <v>500000</v>
      </c>
      <c r="I12" s="30">
        <v>300000</v>
      </c>
      <c r="J12" s="26">
        <v>200000</v>
      </c>
      <c r="K12" s="33">
        <v>0</v>
      </c>
      <c r="L12" s="38">
        <v>0</v>
      </c>
      <c r="M12" s="36">
        <v>0</v>
      </c>
    </row>
    <row r="13" spans="1:22" x14ac:dyDescent="0.25">
      <c r="A13" t="s">
        <v>11</v>
      </c>
      <c r="B13" t="s">
        <v>1</v>
      </c>
      <c r="C13" t="s">
        <v>13</v>
      </c>
      <c r="D13" s="9">
        <v>7692</v>
      </c>
      <c r="E13" t="s">
        <v>264</v>
      </c>
      <c r="F13" t="s">
        <v>16</v>
      </c>
      <c r="G13" t="s">
        <v>261</v>
      </c>
      <c r="H13" s="28">
        <f>SUM(I13:M13)</f>
        <v>192000</v>
      </c>
      <c r="I13" s="30">
        <v>48000</v>
      </c>
      <c r="J13" s="26">
        <v>144000</v>
      </c>
      <c r="K13" s="33">
        <v>0</v>
      </c>
      <c r="L13" s="38">
        <v>0</v>
      </c>
      <c r="M13" s="36">
        <v>0</v>
      </c>
    </row>
    <row r="14" spans="1:22" x14ac:dyDescent="0.25">
      <c r="A14" t="s">
        <v>11</v>
      </c>
      <c r="B14" t="s">
        <v>12</v>
      </c>
      <c r="C14" t="s">
        <v>13</v>
      </c>
      <c r="D14" s="9" t="s">
        <v>234</v>
      </c>
      <c r="E14" t="s">
        <v>278</v>
      </c>
      <c r="F14" t="s">
        <v>240</v>
      </c>
      <c r="G14" t="s">
        <v>276</v>
      </c>
      <c r="H14" s="28">
        <f>SUM(I14:M14)</f>
        <v>650099</v>
      </c>
      <c r="I14" s="30">
        <v>0</v>
      </c>
      <c r="J14" s="26">
        <v>400099</v>
      </c>
      <c r="K14" s="33">
        <v>250000</v>
      </c>
      <c r="L14" s="38">
        <v>0</v>
      </c>
      <c r="M14" s="36">
        <v>0</v>
      </c>
    </row>
    <row r="15" spans="1:22" s="24" customFormat="1" x14ac:dyDescent="0.25">
      <c r="A15" t="s">
        <v>11</v>
      </c>
      <c r="B15" s="40" t="s">
        <v>1</v>
      </c>
      <c r="C15" t="s">
        <v>13</v>
      </c>
      <c r="D15" s="9">
        <v>6998</v>
      </c>
      <c r="E15" t="s">
        <v>246</v>
      </c>
      <c r="F15" t="s">
        <v>239</v>
      </c>
      <c r="G15" t="s">
        <v>248</v>
      </c>
      <c r="H15" s="28">
        <f>SUM(I15:M15)</f>
        <v>25000</v>
      </c>
      <c r="I15" s="30">
        <v>25000</v>
      </c>
      <c r="J15" s="26">
        <v>0</v>
      </c>
      <c r="K15" s="33">
        <v>0</v>
      </c>
      <c r="L15" s="38">
        <v>0</v>
      </c>
      <c r="M15" s="36">
        <v>0</v>
      </c>
      <c r="N15"/>
      <c r="O15"/>
      <c r="P15"/>
      <c r="Q15"/>
      <c r="R15"/>
      <c r="S15"/>
      <c r="T15"/>
      <c r="U15"/>
      <c r="V15"/>
    </row>
    <row r="16" spans="1:22" x14ac:dyDescent="0.25">
      <c r="A16" t="s">
        <v>11</v>
      </c>
      <c r="B16" s="40" t="s">
        <v>12</v>
      </c>
      <c r="C16" t="s">
        <v>13</v>
      </c>
      <c r="D16" s="9">
        <v>6998</v>
      </c>
      <c r="E16" t="s">
        <v>246</v>
      </c>
      <c r="F16" t="s">
        <v>239</v>
      </c>
      <c r="G16" t="s">
        <v>248</v>
      </c>
      <c r="H16" s="28">
        <f>SUM(I16:M16)</f>
        <v>77158</v>
      </c>
      <c r="I16" s="30">
        <v>77158</v>
      </c>
      <c r="J16" s="26">
        <v>0</v>
      </c>
      <c r="K16" s="33">
        <v>0</v>
      </c>
      <c r="L16" s="38">
        <v>0</v>
      </c>
      <c r="M16" s="36">
        <v>0</v>
      </c>
    </row>
    <row r="17" spans="1:13" x14ac:dyDescent="0.25">
      <c r="A17" t="s">
        <v>11</v>
      </c>
      <c r="B17" t="s">
        <v>1</v>
      </c>
      <c r="C17" t="s">
        <v>13</v>
      </c>
      <c r="D17" s="9">
        <v>8499</v>
      </c>
      <c r="E17" t="s">
        <v>256</v>
      </c>
      <c r="F17" t="s">
        <v>238</v>
      </c>
      <c r="G17" t="s">
        <v>248</v>
      </c>
      <c r="H17" s="28">
        <f>SUM(I17:M17)</f>
        <v>70000</v>
      </c>
      <c r="I17" s="30">
        <v>70000</v>
      </c>
      <c r="J17" s="26">
        <v>0</v>
      </c>
      <c r="K17" s="33">
        <v>0</v>
      </c>
      <c r="L17" s="38">
        <v>0</v>
      </c>
      <c r="M17" s="36">
        <v>0</v>
      </c>
    </row>
    <row r="18" spans="1:13" x14ac:dyDescent="0.25">
      <c r="A18" t="s">
        <v>11</v>
      </c>
      <c r="B18" t="s">
        <v>12</v>
      </c>
      <c r="C18" t="s">
        <v>13</v>
      </c>
      <c r="D18" s="9">
        <v>8499</v>
      </c>
      <c r="E18" t="s">
        <v>256</v>
      </c>
      <c r="F18" t="s">
        <v>238</v>
      </c>
      <c r="G18" t="s">
        <v>248</v>
      </c>
      <c r="H18" s="28">
        <f>SUM(I18:M18)</f>
        <v>314124</v>
      </c>
      <c r="I18" s="30">
        <v>314124</v>
      </c>
      <c r="J18" s="26">
        <v>0</v>
      </c>
      <c r="K18" s="33">
        <v>0</v>
      </c>
      <c r="L18" s="38">
        <v>0</v>
      </c>
      <c r="M18" s="36">
        <v>0</v>
      </c>
    </row>
    <row r="19" spans="1:13" x14ac:dyDescent="0.25">
      <c r="A19" t="s">
        <v>11</v>
      </c>
      <c r="B19" t="s">
        <v>12</v>
      </c>
      <c r="C19" t="s">
        <v>13</v>
      </c>
      <c r="D19" s="9" t="s">
        <v>234</v>
      </c>
      <c r="E19" t="s">
        <v>257</v>
      </c>
      <c r="F19" t="s">
        <v>238</v>
      </c>
      <c r="G19" t="s">
        <v>248</v>
      </c>
      <c r="H19" s="28">
        <f>SUM(I19:M19)</f>
        <v>400099</v>
      </c>
      <c r="I19" s="30">
        <v>0</v>
      </c>
      <c r="J19" s="26">
        <v>300000</v>
      </c>
      <c r="K19" s="33">
        <v>100099</v>
      </c>
      <c r="L19" s="38">
        <v>0</v>
      </c>
      <c r="M19" s="36">
        <v>0</v>
      </c>
    </row>
    <row r="20" spans="1:13" x14ac:dyDescent="0.25">
      <c r="A20" t="s">
        <v>11</v>
      </c>
      <c r="B20" s="40" t="s">
        <v>1</v>
      </c>
      <c r="C20" t="s">
        <v>13</v>
      </c>
      <c r="D20" s="9" t="s">
        <v>234</v>
      </c>
      <c r="E20" t="s">
        <v>257</v>
      </c>
      <c r="F20" t="s">
        <v>238</v>
      </c>
      <c r="G20" t="s">
        <v>248</v>
      </c>
      <c r="H20" s="28">
        <f>SUM(I20:M20)</f>
        <v>107500</v>
      </c>
      <c r="I20" s="30">
        <v>0</v>
      </c>
      <c r="J20" s="26">
        <f>43*2500</f>
        <v>107500</v>
      </c>
      <c r="K20" s="33">
        <v>0</v>
      </c>
      <c r="L20" s="38">
        <v>0</v>
      </c>
      <c r="M20" s="36">
        <v>0</v>
      </c>
    </row>
    <row r="21" spans="1:13" x14ac:dyDescent="0.25">
      <c r="A21" t="s">
        <v>11</v>
      </c>
      <c r="B21" s="40" t="s">
        <v>1</v>
      </c>
      <c r="C21" t="s">
        <v>13</v>
      </c>
      <c r="D21" s="9">
        <v>8738</v>
      </c>
      <c r="E21" t="s">
        <v>258</v>
      </c>
      <c r="F21" t="s">
        <v>238</v>
      </c>
      <c r="G21" t="s">
        <v>248</v>
      </c>
      <c r="H21" s="28">
        <f>SUM(I21:M21)</f>
        <v>107500</v>
      </c>
      <c r="I21" s="30"/>
      <c r="J21" s="26">
        <f>43*2500</f>
        <v>107500</v>
      </c>
      <c r="K21" s="33">
        <v>0</v>
      </c>
      <c r="L21" s="38">
        <v>0</v>
      </c>
      <c r="M21" s="36">
        <v>0</v>
      </c>
    </row>
    <row r="22" spans="1:13" x14ac:dyDescent="0.25">
      <c r="A22" t="s">
        <v>11</v>
      </c>
      <c r="B22" t="s">
        <v>12</v>
      </c>
      <c r="C22" t="s">
        <v>13</v>
      </c>
      <c r="D22" s="9">
        <v>8738</v>
      </c>
      <c r="E22" t="s">
        <v>258</v>
      </c>
      <c r="F22" t="s">
        <v>238</v>
      </c>
      <c r="G22" t="s">
        <v>248</v>
      </c>
      <c r="H22" s="28">
        <f>SUM(I22:M22)</f>
        <v>671027</v>
      </c>
      <c r="I22" s="30">
        <v>100000</v>
      </c>
      <c r="J22" s="26">
        <v>320928</v>
      </c>
      <c r="K22" s="33">
        <v>250099</v>
      </c>
      <c r="L22" s="38">
        <v>0</v>
      </c>
      <c r="M22" s="36">
        <v>0</v>
      </c>
    </row>
    <row r="23" spans="1:13" x14ac:dyDescent="0.25">
      <c r="A23" t="s">
        <v>49</v>
      </c>
      <c r="B23" t="s">
        <v>12</v>
      </c>
      <c r="C23" t="s">
        <v>52</v>
      </c>
      <c r="D23" s="9" t="s">
        <v>50</v>
      </c>
      <c r="E23" t="s">
        <v>271</v>
      </c>
      <c r="F23" t="s">
        <v>51</v>
      </c>
      <c r="G23" t="s">
        <v>51</v>
      </c>
      <c r="H23" s="28">
        <f>SUM(I23:M23)</f>
        <v>2102531.4062499995</v>
      </c>
      <c r="I23" s="30">
        <v>400000</v>
      </c>
      <c r="J23" s="26">
        <v>409999.99999999994</v>
      </c>
      <c r="K23" s="33">
        <v>420249.99999999988</v>
      </c>
      <c r="L23" s="38">
        <v>430756.24999999983</v>
      </c>
      <c r="M23" s="36">
        <v>441525.15624999977</v>
      </c>
    </row>
    <row r="24" spans="1:13" x14ac:dyDescent="0.25">
      <c r="A24" t="s">
        <v>11</v>
      </c>
      <c r="B24" s="40" t="s">
        <v>12</v>
      </c>
      <c r="C24" t="s">
        <v>52</v>
      </c>
      <c r="D24" s="9">
        <v>370</v>
      </c>
      <c r="E24" t="s">
        <v>245</v>
      </c>
      <c r="F24" t="s">
        <v>59</v>
      </c>
      <c r="G24" t="s">
        <v>247</v>
      </c>
      <c r="H24" s="28">
        <f>SUM(I24:M24)</f>
        <v>2425141</v>
      </c>
      <c r="I24" s="30">
        <v>1198549.5</v>
      </c>
      <c r="J24" s="26">
        <v>1226591.5</v>
      </c>
      <c r="K24" s="33">
        <v>0</v>
      </c>
      <c r="L24" s="38">
        <v>0</v>
      </c>
      <c r="M24" s="36">
        <v>0</v>
      </c>
    </row>
    <row r="25" spans="1:13" x14ac:dyDescent="0.25">
      <c r="A25" t="s">
        <v>11</v>
      </c>
      <c r="B25" s="40" t="s">
        <v>1</v>
      </c>
      <c r="C25" t="s">
        <v>52</v>
      </c>
      <c r="D25" s="9">
        <v>370</v>
      </c>
      <c r="E25" t="s">
        <v>245</v>
      </c>
      <c r="F25" t="s">
        <v>59</v>
      </c>
      <c r="G25" t="s">
        <v>247</v>
      </c>
      <c r="H25" s="28">
        <f>SUM(I25:M25)</f>
        <v>235600</v>
      </c>
      <c r="I25" s="30">
        <v>0</v>
      </c>
      <c r="J25" s="26">
        <v>235600</v>
      </c>
      <c r="K25" s="33">
        <v>0</v>
      </c>
      <c r="L25" s="38">
        <v>0</v>
      </c>
      <c r="M25" s="36">
        <v>0</v>
      </c>
    </row>
    <row r="26" spans="1:13" x14ac:dyDescent="0.25">
      <c r="A26" t="s">
        <v>49</v>
      </c>
      <c r="B26" t="s">
        <v>12</v>
      </c>
      <c r="C26" t="s">
        <v>243</v>
      </c>
      <c r="D26" s="9" t="s">
        <v>234</v>
      </c>
      <c r="E26" t="s">
        <v>272</v>
      </c>
      <c r="F26" t="s">
        <v>93</v>
      </c>
      <c r="G26" t="s">
        <v>51</v>
      </c>
      <c r="H26" s="28">
        <f>SUM(I26:M26)</f>
        <v>18397670.181210544</v>
      </c>
      <c r="I26" s="30">
        <v>3500099</v>
      </c>
      <c r="J26" s="26">
        <v>3587601.4749999996</v>
      </c>
      <c r="K26" s="33">
        <v>3677291.5118749994</v>
      </c>
      <c r="L26" s="38">
        <v>3769223.7996718739</v>
      </c>
      <c r="M26" s="36">
        <v>3863454.3946636706</v>
      </c>
    </row>
    <row r="27" spans="1:13" x14ac:dyDescent="0.25">
      <c r="A27" t="s">
        <v>11</v>
      </c>
      <c r="B27" s="40" t="s">
        <v>1</v>
      </c>
      <c r="C27" t="s">
        <v>78</v>
      </c>
      <c r="D27" s="9">
        <v>7157</v>
      </c>
      <c r="E27" t="s">
        <v>263</v>
      </c>
      <c r="F27" t="s">
        <v>25</v>
      </c>
      <c r="G27" t="s">
        <v>261</v>
      </c>
      <c r="H27" s="28">
        <f>SUM(I27:M27)</f>
        <v>35107</v>
      </c>
      <c r="I27" s="30">
        <v>35107</v>
      </c>
      <c r="J27" s="26">
        <v>0</v>
      </c>
      <c r="K27" s="33">
        <v>0</v>
      </c>
      <c r="L27" s="38">
        <v>0</v>
      </c>
      <c r="M27" s="36">
        <v>0</v>
      </c>
    </row>
    <row r="28" spans="1:13" x14ac:dyDescent="0.25">
      <c r="A28" t="s">
        <v>11</v>
      </c>
      <c r="B28" s="40" t="s">
        <v>12</v>
      </c>
      <c r="C28" t="s">
        <v>78</v>
      </c>
      <c r="D28" s="9">
        <v>7157</v>
      </c>
      <c r="E28" t="s">
        <v>263</v>
      </c>
      <c r="F28" t="s">
        <v>25</v>
      </c>
      <c r="G28" t="s">
        <v>261</v>
      </c>
      <c r="H28" s="28">
        <f>SUM(I28:M28)</f>
        <v>77824</v>
      </c>
      <c r="I28" s="30">
        <v>77824</v>
      </c>
      <c r="J28" s="26">
        <v>0</v>
      </c>
      <c r="K28" s="33">
        <v>0</v>
      </c>
      <c r="L28" s="38">
        <v>0</v>
      </c>
      <c r="M28" s="36">
        <v>0</v>
      </c>
    </row>
    <row r="29" spans="1:13" x14ac:dyDescent="0.25">
      <c r="A29" t="s">
        <v>11</v>
      </c>
      <c r="B29" t="s">
        <v>231</v>
      </c>
      <c r="C29" t="s">
        <v>78</v>
      </c>
      <c r="D29" s="9" t="s">
        <v>234</v>
      </c>
      <c r="E29" t="s">
        <v>265</v>
      </c>
      <c r="F29" t="s">
        <v>108</v>
      </c>
      <c r="G29" t="s">
        <v>266</v>
      </c>
      <c r="H29" s="28">
        <f>SUM(I29:M29)</f>
        <v>0</v>
      </c>
      <c r="I29" s="30">
        <v>0</v>
      </c>
      <c r="J29" s="26">
        <v>0</v>
      </c>
      <c r="K29" s="33">
        <v>0</v>
      </c>
      <c r="L29" s="38">
        <v>0</v>
      </c>
      <c r="M29" s="36">
        <v>0</v>
      </c>
    </row>
    <row r="30" spans="1:13" x14ac:dyDescent="0.25">
      <c r="A30" t="s">
        <v>11</v>
      </c>
      <c r="B30" t="s">
        <v>12</v>
      </c>
      <c r="C30" t="s">
        <v>78</v>
      </c>
      <c r="D30" s="9">
        <v>6964</v>
      </c>
      <c r="E30" t="s">
        <v>267</v>
      </c>
      <c r="F30" t="s">
        <v>108</v>
      </c>
      <c r="G30" t="s">
        <v>266</v>
      </c>
      <c r="H30" s="28">
        <f>SUM(I30:M30)</f>
        <v>1300000</v>
      </c>
      <c r="I30" s="30">
        <v>0</v>
      </c>
      <c r="J30" s="26">
        <v>1300000</v>
      </c>
      <c r="K30" s="33">
        <v>0</v>
      </c>
      <c r="L30" s="38">
        <v>0</v>
      </c>
      <c r="M30" s="36">
        <v>0</v>
      </c>
    </row>
    <row r="31" spans="1:13" x14ac:dyDescent="0.25">
      <c r="A31" t="s">
        <v>11</v>
      </c>
      <c r="B31" s="40" t="s">
        <v>12</v>
      </c>
      <c r="C31" t="s">
        <v>78</v>
      </c>
      <c r="D31" s="9">
        <v>8468</v>
      </c>
      <c r="E31" t="s">
        <v>268</v>
      </c>
      <c r="F31" t="s">
        <v>108</v>
      </c>
      <c r="G31" t="s">
        <v>266</v>
      </c>
      <c r="H31" s="28">
        <f>SUM(I31:M31)</f>
        <v>34298</v>
      </c>
      <c r="I31" s="30">
        <v>34298</v>
      </c>
      <c r="J31" s="26">
        <v>0</v>
      </c>
      <c r="K31" s="33">
        <v>0</v>
      </c>
      <c r="L31" s="38">
        <v>0</v>
      </c>
      <c r="M31" s="36">
        <v>0</v>
      </c>
    </row>
    <row r="32" spans="1:13" x14ac:dyDescent="0.25">
      <c r="A32" t="s">
        <v>11</v>
      </c>
      <c r="B32" s="40" t="s">
        <v>12</v>
      </c>
      <c r="C32" t="s">
        <v>78</v>
      </c>
      <c r="D32" s="9">
        <v>5404</v>
      </c>
      <c r="E32" t="s">
        <v>249</v>
      </c>
      <c r="F32" t="s">
        <v>212</v>
      </c>
      <c r="G32" t="s">
        <v>250</v>
      </c>
      <c r="H32" s="28">
        <f>SUM(I32:M32)</f>
        <v>1929779</v>
      </c>
      <c r="I32" s="30">
        <v>500000</v>
      </c>
      <c r="J32" s="26">
        <v>1179779</v>
      </c>
      <c r="K32" s="33">
        <v>250000</v>
      </c>
      <c r="L32" s="38">
        <v>0</v>
      </c>
      <c r="M32" s="36">
        <v>0</v>
      </c>
    </row>
    <row r="33" spans="1:13" x14ac:dyDescent="0.25">
      <c r="A33" t="s">
        <v>11</v>
      </c>
      <c r="B33" t="s">
        <v>12</v>
      </c>
      <c r="C33" t="s">
        <v>78</v>
      </c>
      <c r="D33" s="9">
        <v>8051</v>
      </c>
      <c r="E33" t="s">
        <v>251</v>
      </c>
      <c r="F33" t="s">
        <v>230</v>
      </c>
      <c r="G33" t="s">
        <v>252</v>
      </c>
      <c r="H33" s="28">
        <f>SUM(I33:M33)</f>
        <v>1125000</v>
      </c>
      <c r="I33" s="30">
        <v>0</v>
      </c>
      <c r="J33" s="26">
        <v>500000</v>
      </c>
      <c r="K33" s="33">
        <v>625000</v>
      </c>
      <c r="L33" s="38">
        <v>0</v>
      </c>
      <c r="M33" s="36">
        <v>0</v>
      </c>
    </row>
    <row r="34" spans="1:13" x14ac:dyDescent="0.25">
      <c r="A34" t="s">
        <v>11</v>
      </c>
      <c r="B34" t="s">
        <v>12</v>
      </c>
      <c r="C34" t="s">
        <v>78</v>
      </c>
      <c r="D34" s="9">
        <v>8548</v>
      </c>
      <c r="E34" t="s">
        <v>253</v>
      </c>
      <c r="F34" t="s">
        <v>97</v>
      </c>
      <c r="G34" t="s">
        <v>252</v>
      </c>
      <c r="H34" s="28">
        <f>SUM(I34:M34)</f>
        <v>950000</v>
      </c>
      <c r="I34" s="30">
        <v>0</v>
      </c>
      <c r="J34" s="26">
        <v>0</v>
      </c>
      <c r="K34" s="33">
        <v>500000</v>
      </c>
      <c r="L34" s="38">
        <v>450000</v>
      </c>
      <c r="M34" s="36">
        <v>0</v>
      </c>
    </row>
    <row r="35" spans="1:13" x14ac:dyDescent="0.25">
      <c r="A35" t="s">
        <v>11</v>
      </c>
      <c r="B35" t="s">
        <v>12</v>
      </c>
      <c r="C35" t="s">
        <v>78</v>
      </c>
      <c r="D35" s="9">
        <v>8265</v>
      </c>
      <c r="E35" t="s">
        <v>255</v>
      </c>
      <c r="F35" t="s">
        <v>117</v>
      </c>
      <c r="G35" t="s">
        <v>252</v>
      </c>
      <c r="H35" s="28">
        <f>SUM(I35:M35)</f>
        <v>2180000</v>
      </c>
      <c r="I35" s="30">
        <v>0</v>
      </c>
      <c r="J35" s="26">
        <v>1000000</v>
      </c>
      <c r="K35" s="33">
        <v>1030000</v>
      </c>
      <c r="L35" s="38">
        <v>150000</v>
      </c>
      <c r="M35" s="36">
        <v>0</v>
      </c>
    </row>
    <row r="36" spans="1:13" x14ac:dyDescent="0.25">
      <c r="A36" t="s">
        <v>11</v>
      </c>
      <c r="B36" t="s">
        <v>12</v>
      </c>
      <c r="C36" t="s">
        <v>78</v>
      </c>
      <c r="D36" s="9">
        <v>8265</v>
      </c>
      <c r="E36" t="s">
        <v>254</v>
      </c>
      <c r="F36" t="s">
        <v>117</v>
      </c>
      <c r="G36" t="s">
        <v>252</v>
      </c>
      <c r="H36" s="28">
        <f>SUM(I36:M36)</f>
        <v>1820000</v>
      </c>
      <c r="I36" s="30">
        <v>0</v>
      </c>
      <c r="J36" s="26">
        <v>0</v>
      </c>
      <c r="K36" s="33">
        <v>1000000</v>
      </c>
      <c r="L36" s="38">
        <v>820000</v>
      </c>
      <c r="M36" s="36">
        <v>0</v>
      </c>
    </row>
    <row r="37" spans="1:13" x14ac:dyDescent="0.25">
      <c r="A37" t="s">
        <v>11</v>
      </c>
      <c r="B37" s="40" t="s">
        <v>12</v>
      </c>
      <c r="C37" t="s">
        <v>78</v>
      </c>
      <c r="D37" s="9">
        <v>6446</v>
      </c>
      <c r="E37" t="s">
        <v>259</v>
      </c>
      <c r="F37" t="s">
        <v>212</v>
      </c>
      <c r="G37" t="s">
        <v>250</v>
      </c>
      <c r="H37" s="28">
        <f>SUM(I37:M37)</f>
        <v>11802814</v>
      </c>
      <c r="I37" s="30">
        <v>1500000</v>
      </c>
      <c r="J37" s="26">
        <v>4500000</v>
      </c>
      <c r="K37" s="33">
        <v>5802814</v>
      </c>
      <c r="L37" s="38">
        <v>0</v>
      </c>
      <c r="M37" s="36">
        <v>0</v>
      </c>
    </row>
    <row r="38" spans="1:13" x14ac:dyDescent="0.25">
      <c r="A38" t="s">
        <v>11</v>
      </c>
      <c r="B38" t="s">
        <v>1</v>
      </c>
      <c r="C38" t="s">
        <v>78</v>
      </c>
      <c r="D38" s="9">
        <v>6446</v>
      </c>
      <c r="E38" t="s">
        <v>259</v>
      </c>
      <c r="F38" t="s">
        <v>212</v>
      </c>
      <c r="G38" t="s">
        <v>250</v>
      </c>
      <c r="H38" s="28">
        <f>SUM(I38:M38)</f>
        <v>2426169</v>
      </c>
      <c r="I38" s="30">
        <v>250000</v>
      </c>
      <c r="J38" s="26">
        <v>1500000</v>
      </c>
      <c r="K38" s="33">
        <v>676169</v>
      </c>
      <c r="L38" s="38">
        <v>0</v>
      </c>
      <c r="M38" s="36">
        <v>0</v>
      </c>
    </row>
    <row r="39" spans="1:13" x14ac:dyDescent="0.25">
      <c r="A39" t="s">
        <v>49</v>
      </c>
      <c r="B39" t="s">
        <v>12</v>
      </c>
      <c r="C39" t="s">
        <v>78</v>
      </c>
      <c r="D39" s="9" t="s">
        <v>50</v>
      </c>
      <c r="E39" t="s">
        <v>270</v>
      </c>
      <c r="F39" t="s">
        <v>51</v>
      </c>
      <c r="G39" t="s">
        <v>51</v>
      </c>
      <c r="H39" s="28">
        <f>SUM(I39:M39)</f>
        <v>2102531.4062499995</v>
      </c>
      <c r="I39" s="30">
        <v>400000</v>
      </c>
      <c r="J39" s="26">
        <v>409999.99999999994</v>
      </c>
      <c r="K39" s="33">
        <v>420249.99999999988</v>
      </c>
      <c r="L39" s="38">
        <v>430756.24999999983</v>
      </c>
      <c r="M39" s="36">
        <v>441525.15624999977</v>
      </c>
    </row>
    <row r="40" spans="1:13" x14ac:dyDescent="0.25">
      <c r="A40" t="s">
        <v>49</v>
      </c>
      <c r="B40" t="s">
        <v>12</v>
      </c>
      <c r="C40" t="s">
        <v>78</v>
      </c>
      <c r="D40" s="9" t="s">
        <v>50</v>
      </c>
      <c r="E40" t="s">
        <v>145</v>
      </c>
      <c r="F40" t="s">
        <v>51</v>
      </c>
      <c r="G40" t="s">
        <v>51</v>
      </c>
      <c r="H40" s="28">
        <f>SUM(I40:M40)</f>
        <v>1314082.12890625</v>
      </c>
      <c r="I40" s="30">
        <v>250000</v>
      </c>
      <c r="J40" s="26">
        <v>256249.99999999997</v>
      </c>
      <c r="K40" s="33">
        <v>262656.24999999994</v>
      </c>
      <c r="L40" s="38">
        <v>269222.65624999994</v>
      </c>
      <c r="M40" s="36">
        <v>275953.22265624994</v>
      </c>
    </row>
    <row r="41" spans="1:13" x14ac:dyDescent="0.25">
      <c r="A41" t="s">
        <v>49</v>
      </c>
      <c r="B41" t="s">
        <v>12</v>
      </c>
      <c r="C41" t="s">
        <v>147</v>
      </c>
      <c r="D41" s="9" t="s">
        <v>50</v>
      </c>
      <c r="E41" t="s">
        <v>271</v>
      </c>
      <c r="F41" t="s">
        <v>51</v>
      </c>
      <c r="G41" t="s">
        <v>51</v>
      </c>
      <c r="H41" s="28">
        <f>SUM(I41:M41)</f>
        <v>3416613.5351562495</v>
      </c>
      <c r="I41" s="30">
        <v>650000</v>
      </c>
      <c r="J41" s="26">
        <v>666250</v>
      </c>
      <c r="K41" s="33">
        <v>682906.24999999988</v>
      </c>
      <c r="L41" s="38">
        <v>699978.90624999977</v>
      </c>
      <c r="M41" s="36">
        <v>717478.37890624965</v>
      </c>
    </row>
    <row r="42" spans="1:13" x14ac:dyDescent="0.25">
      <c r="A42" t="s">
        <v>11</v>
      </c>
      <c r="B42" s="40" t="s">
        <v>12</v>
      </c>
      <c r="C42" t="s">
        <v>149</v>
      </c>
      <c r="D42" s="9">
        <v>370</v>
      </c>
      <c r="E42" t="s">
        <v>245</v>
      </c>
      <c r="F42" t="s">
        <v>59</v>
      </c>
      <c r="G42" t="s">
        <v>247</v>
      </c>
      <c r="H42" s="28">
        <f>SUM(I42:M42)</f>
        <v>684858.5</v>
      </c>
      <c r="I42" s="30">
        <v>324549.5</v>
      </c>
      <c r="J42" s="26">
        <v>360309</v>
      </c>
      <c r="K42" s="33">
        <v>0</v>
      </c>
      <c r="L42" s="38">
        <v>0</v>
      </c>
      <c r="M42" s="36">
        <v>0</v>
      </c>
    </row>
    <row r="43" spans="1:13" x14ac:dyDescent="0.25">
      <c r="A43" t="s">
        <v>11</v>
      </c>
      <c r="B43" s="40" t="s">
        <v>1</v>
      </c>
      <c r="C43" t="s">
        <v>149</v>
      </c>
      <c r="D43" s="9">
        <v>370</v>
      </c>
      <c r="E43" t="s">
        <v>245</v>
      </c>
      <c r="F43" t="s">
        <v>59</v>
      </c>
      <c r="G43" t="s">
        <v>247</v>
      </c>
      <c r="H43" s="28">
        <f>SUM(I43:M43)</f>
        <v>111600</v>
      </c>
      <c r="I43" s="30">
        <v>0</v>
      </c>
      <c r="J43" s="26">
        <v>111600</v>
      </c>
      <c r="K43" s="33">
        <v>0</v>
      </c>
      <c r="L43" s="38">
        <v>0</v>
      </c>
      <c r="M43" s="36">
        <v>0</v>
      </c>
    </row>
    <row r="44" spans="1:13" x14ac:dyDescent="0.25">
      <c r="A44" t="s">
        <v>49</v>
      </c>
      <c r="B44" t="s">
        <v>12</v>
      </c>
      <c r="C44" t="s">
        <v>151</v>
      </c>
      <c r="D44" s="9" t="s">
        <v>50</v>
      </c>
      <c r="E44" t="s">
        <v>271</v>
      </c>
      <c r="F44" t="s">
        <v>51</v>
      </c>
      <c r="G44" t="s">
        <v>51</v>
      </c>
      <c r="H44" s="28">
        <f>SUM(I44:M44)</f>
        <v>1445490.341796875</v>
      </c>
      <c r="I44" s="30">
        <v>275000</v>
      </c>
      <c r="J44" s="26">
        <v>281875</v>
      </c>
      <c r="K44" s="33">
        <v>288921.875</v>
      </c>
      <c r="L44" s="38">
        <v>296144.921875</v>
      </c>
      <c r="M44" s="36">
        <v>303548.544921875</v>
      </c>
    </row>
    <row r="45" spans="1:13" x14ac:dyDescent="0.25">
      <c r="A45" t="s">
        <v>49</v>
      </c>
      <c r="B45" t="s">
        <v>12</v>
      </c>
      <c r="C45" t="s">
        <v>151</v>
      </c>
      <c r="D45" s="9" t="s">
        <v>50</v>
      </c>
      <c r="E45" t="s">
        <v>153</v>
      </c>
      <c r="F45" t="s">
        <v>51</v>
      </c>
      <c r="G45" t="s">
        <v>51</v>
      </c>
      <c r="H45" s="28">
        <f>SUM(I45:M45)</f>
        <v>657041.064453125</v>
      </c>
      <c r="I45" s="30">
        <v>125000</v>
      </c>
      <c r="J45" s="26">
        <v>128124.99999999999</v>
      </c>
      <c r="K45" s="33">
        <v>131328.12499999997</v>
      </c>
      <c r="L45" s="38">
        <v>134611.32812499997</v>
      </c>
      <c r="M45" s="36">
        <v>137976.61132812497</v>
      </c>
    </row>
    <row r="46" spans="1:13" x14ac:dyDescent="0.25">
      <c r="A46" t="s">
        <v>49</v>
      </c>
      <c r="B46" t="s">
        <v>12</v>
      </c>
      <c r="C46" t="s">
        <v>233</v>
      </c>
      <c r="D46" s="9" t="s">
        <v>50</v>
      </c>
      <c r="E46" t="s">
        <v>236</v>
      </c>
      <c r="F46" t="s">
        <v>51</v>
      </c>
      <c r="G46" t="s">
        <v>51</v>
      </c>
      <c r="H46" s="28">
        <f>SUM(I46:M46)</f>
        <v>262816.42578124994</v>
      </c>
      <c r="I46" s="30">
        <v>50000</v>
      </c>
      <c r="J46" s="26">
        <v>51249.999999999993</v>
      </c>
      <c r="K46" s="33">
        <v>52531.249999999985</v>
      </c>
      <c r="L46" s="38">
        <v>53844.531249999978</v>
      </c>
      <c r="M46" s="36">
        <v>55190.644531249971</v>
      </c>
    </row>
    <row r="47" spans="1:13" x14ac:dyDescent="0.25">
      <c r="A47" t="s">
        <v>11</v>
      </c>
      <c r="B47" t="s">
        <v>12</v>
      </c>
      <c r="C47" t="s">
        <v>233</v>
      </c>
      <c r="D47" s="9" t="s">
        <v>234</v>
      </c>
      <c r="E47" t="s">
        <v>275</v>
      </c>
      <c r="F47" t="s">
        <v>235</v>
      </c>
      <c r="G47" t="s">
        <v>274</v>
      </c>
      <c r="H47" s="28">
        <f>SUM(I47:M47)</f>
        <v>761980</v>
      </c>
      <c r="I47" s="30">
        <v>411980</v>
      </c>
      <c r="J47" s="26">
        <v>350000</v>
      </c>
      <c r="K47" s="33">
        <v>0</v>
      </c>
      <c r="L47" s="38">
        <v>0</v>
      </c>
      <c r="M47" s="36">
        <v>0</v>
      </c>
    </row>
    <row r="48" spans="1:13" x14ac:dyDescent="0.25">
      <c r="A48" t="s">
        <v>49</v>
      </c>
      <c r="B48" t="s">
        <v>12</v>
      </c>
      <c r="C48" t="s">
        <v>154</v>
      </c>
      <c r="D48" s="9" t="s">
        <v>50</v>
      </c>
      <c r="E48" t="s">
        <v>155</v>
      </c>
      <c r="F48" t="s">
        <v>51</v>
      </c>
      <c r="G48" t="s">
        <v>51</v>
      </c>
      <c r="H48" s="28">
        <f>SUM(I48:M48)</f>
        <v>4194550.1554687489</v>
      </c>
      <c r="I48" s="30">
        <v>798000</v>
      </c>
      <c r="J48" s="26">
        <v>817949.99999999988</v>
      </c>
      <c r="K48" s="33">
        <v>838398.74999999977</v>
      </c>
      <c r="L48" s="38">
        <v>859358.71874999965</v>
      </c>
      <c r="M48" s="36">
        <v>880842.68671874958</v>
      </c>
    </row>
    <row r="49" spans="1:13" x14ac:dyDescent="0.25">
      <c r="A49" t="s">
        <v>49</v>
      </c>
      <c r="B49" t="s">
        <v>12</v>
      </c>
      <c r="C49" t="s">
        <v>154</v>
      </c>
      <c r="D49" s="9" t="s">
        <v>50</v>
      </c>
      <c r="E49" t="s">
        <v>156</v>
      </c>
      <c r="F49" t="s">
        <v>51</v>
      </c>
      <c r="G49" t="s">
        <v>51</v>
      </c>
      <c r="H49" s="28">
        <f>SUM(I49:M49)</f>
        <v>3942246.3867187491</v>
      </c>
      <c r="I49" s="30">
        <v>750000</v>
      </c>
      <c r="J49" s="26">
        <v>768749.99999999988</v>
      </c>
      <c r="K49" s="33">
        <v>787968.74999999977</v>
      </c>
      <c r="L49" s="38">
        <v>807667.96874999965</v>
      </c>
      <c r="M49" s="36">
        <v>827859.66796874953</v>
      </c>
    </row>
    <row r="50" spans="1:13" x14ac:dyDescent="0.25">
      <c r="A50" t="s">
        <v>49</v>
      </c>
      <c r="B50" t="s">
        <v>12</v>
      </c>
      <c r="C50" t="s">
        <v>157</v>
      </c>
      <c r="D50" s="9" t="s">
        <v>50</v>
      </c>
      <c r="E50" t="s">
        <v>271</v>
      </c>
      <c r="F50" t="s">
        <v>51</v>
      </c>
      <c r="G50" t="s">
        <v>51</v>
      </c>
      <c r="H50" s="28">
        <f>SUM(I50:M50)</f>
        <v>3942246.3867187491</v>
      </c>
      <c r="I50" s="30">
        <v>750000</v>
      </c>
      <c r="J50" s="26">
        <v>768749.99999999988</v>
      </c>
      <c r="K50" s="33">
        <v>787968.74999999977</v>
      </c>
      <c r="L50" s="38">
        <v>807667.96874999965</v>
      </c>
      <c r="M50" s="36">
        <v>827859.66796874953</v>
      </c>
    </row>
    <row r="51" spans="1:13" x14ac:dyDescent="0.25">
      <c r="A51" t="s">
        <v>49</v>
      </c>
      <c r="B51" s="40" t="s">
        <v>12</v>
      </c>
      <c r="C51" t="s">
        <v>244</v>
      </c>
      <c r="D51" s="9" t="s">
        <v>234</v>
      </c>
      <c r="E51" t="s">
        <v>272</v>
      </c>
      <c r="F51" t="s">
        <v>241</v>
      </c>
      <c r="G51" t="s">
        <v>51</v>
      </c>
      <c r="H51" s="28">
        <f>SUM(I51:M51)</f>
        <v>26000000</v>
      </c>
      <c r="I51" s="30">
        <v>8000000</v>
      </c>
      <c r="J51" s="26">
        <v>9000000</v>
      </c>
      <c r="K51" s="33">
        <v>9000000</v>
      </c>
      <c r="L51" s="38">
        <v>0</v>
      </c>
      <c r="M51" s="36">
        <v>0</v>
      </c>
    </row>
    <row r="52" spans="1:13" x14ac:dyDescent="0.25">
      <c r="A52" t="s">
        <v>49</v>
      </c>
      <c r="B52" t="s">
        <v>12</v>
      </c>
      <c r="C52" t="s">
        <v>162</v>
      </c>
      <c r="D52" s="9" t="s">
        <v>50</v>
      </c>
      <c r="E52" t="s">
        <v>184</v>
      </c>
      <c r="F52" t="s">
        <v>163</v>
      </c>
      <c r="G52" t="s">
        <v>51</v>
      </c>
      <c r="H52" s="28">
        <f>SUM(I52:M52)</f>
        <v>9198574.9023437481</v>
      </c>
      <c r="I52" s="30">
        <v>1750000</v>
      </c>
      <c r="J52" s="26">
        <v>1793749.9999999998</v>
      </c>
      <c r="K52" s="33">
        <v>1838593.7499999995</v>
      </c>
      <c r="L52" s="38">
        <v>1884558.5937499993</v>
      </c>
      <c r="M52" s="36">
        <v>1931672.5585937491</v>
      </c>
    </row>
    <row r="53" spans="1:13" x14ac:dyDescent="0.25">
      <c r="A53" t="s">
        <v>49</v>
      </c>
      <c r="B53" t="s">
        <v>12</v>
      </c>
      <c r="C53" t="s">
        <v>162</v>
      </c>
      <c r="D53" s="9" t="s">
        <v>50</v>
      </c>
      <c r="E53" t="s">
        <v>51</v>
      </c>
      <c r="F53" t="s">
        <v>51</v>
      </c>
      <c r="G53" t="s">
        <v>51</v>
      </c>
      <c r="H53" s="28">
        <f>SUM(I53:M53)</f>
        <v>800000</v>
      </c>
      <c r="I53" s="30">
        <v>400000</v>
      </c>
      <c r="J53" s="26">
        <v>400000</v>
      </c>
      <c r="K53" s="33">
        <v>0</v>
      </c>
      <c r="L53" s="38">
        <v>0</v>
      </c>
      <c r="M53" s="36">
        <v>0</v>
      </c>
    </row>
    <row r="54" spans="1:13" x14ac:dyDescent="0.25">
      <c r="A54" t="s">
        <v>49</v>
      </c>
      <c r="B54" t="s">
        <v>12</v>
      </c>
      <c r="C54" t="s">
        <v>162</v>
      </c>
      <c r="D54" s="9">
        <v>2023</v>
      </c>
      <c r="E54" t="s">
        <v>273</v>
      </c>
      <c r="F54" t="s">
        <v>163</v>
      </c>
      <c r="G54" t="s">
        <v>51</v>
      </c>
      <c r="H54" s="28">
        <f>SUM(I54:M54)</f>
        <v>2628164.2578125</v>
      </c>
      <c r="I54" s="30">
        <v>500000</v>
      </c>
      <c r="J54" s="26">
        <v>512499.99999999994</v>
      </c>
      <c r="K54" s="33">
        <v>525312.49999999988</v>
      </c>
      <c r="L54" s="38">
        <v>538445.31249999988</v>
      </c>
      <c r="M54" s="36">
        <v>551906.44531249988</v>
      </c>
    </row>
    <row r="55" spans="1:13" x14ac:dyDescent="0.25">
      <c r="A55" t="s">
        <v>49</v>
      </c>
      <c r="B55" t="s">
        <v>12</v>
      </c>
      <c r="C55" t="s">
        <v>185</v>
      </c>
      <c r="D55" s="9" t="s">
        <v>50</v>
      </c>
      <c r="E55" t="s">
        <v>271</v>
      </c>
      <c r="F55" t="s">
        <v>51</v>
      </c>
      <c r="G55" t="s">
        <v>51</v>
      </c>
      <c r="H55" s="28">
        <f>SUM(I55:M55)</f>
        <v>788449.27734375</v>
      </c>
      <c r="I55" s="30">
        <v>150000</v>
      </c>
      <c r="J55" s="26">
        <v>153750</v>
      </c>
      <c r="K55" s="33">
        <v>157593.75</v>
      </c>
      <c r="L55" s="38">
        <v>161533.59375</v>
      </c>
      <c r="M55" s="36">
        <v>165571.93359375</v>
      </c>
    </row>
    <row r="56" spans="1:13" x14ac:dyDescent="0.25">
      <c r="A56" t="s">
        <v>11</v>
      </c>
      <c r="B56" s="40" t="s">
        <v>1</v>
      </c>
      <c r="C56" t="s">
        <v>185</v>
      </c>
      <c r="D56" s="9">
        <v>6998</v>
      </c>
      <c r="E56" t="s">
        <v>246</v>
      </c>
      <c r="F56" t="s">
        <v>239</v>
      </c>
      <c r="G56" t="s">
        <v>248</v>
      </c>
      <c r="H56" s="28">
        <f>SUM(I56:M56)</f>
        <v>30000</v>
      </c>
      <c r="I56" s="30">
        <v>30000</v>
      </c>
      <c r="J56" s="26">
        <v>0</v>
      </c>
      <c r="K56" s="33">
        <v>0</v>
      </c>
      <c r="L56" s="38">
        <v>0</v>
      </c>
      <c r="M56" s="36">
        <v>0</v>
      </c>
    </row>
    <row r="57" spans="1:13" x14ac:dyDescent="0.25">
      <c r="A57" t="s">
        <v>11</v>
      </c>
      <c r="B57" s="40" t="s">
        <v>12</v>
      </c>
      <c r="C57" t="s">
        <v>185</v>
      </c>
      <c r="D57" s="9">
        <v>6998</v>
      </c>
      <c r="E57" t="s">
        <v>246</v>
      </c>
      <c r="F57" t="s">
        <v>239</v>
      </c>
      <c r="G57" t="s">
        <v>248</v>
      </c>
      <c r="H57" s="28">
        <f>SUM(I57:M57)</f>
        <v>336613</v>
      </c>
      <c r="I57" s="30">
        <v>336613</v>
      </c>
      <c r="J57" s="26">
        <v>0</v>
      </c>
      <c r="K57" s="33">
        <v>0</v>
      </c>
      <c r="L57" s="38">
        <v>0</v>
      </c>
      <c r="M57" s="36">
        <v>0</v>
      </c>
    </row>
    <row r="58" spans="1:13" x14ac:dyDescent="0.25">
      <c r="A58" t="s">
        <v>11</v>
      </c>
      <c r="B58" t="s">
        <v>12</v>
      </c>
      <c r="C58" t="s">
        <v>185</v>
      </c>
      <c r="D58" s="9">
        <v>8051</v>
      </c>
      <c r="E58" t="s">
        <v>251</v>
      </c>
      <c r="F58" t="s">
        <v>230</v>
      </c>
      <c r="G58" t="s">
        <v>252</v>
      </c>
      <c r="H58" s="28">
        <f>SUM(I58:M58)</f>
        <v>4125000</v>
      </c>
      <c r="I58" s="30">
        <v>0</v>
      </c>
      <c r="J58" s="26">
        <v>2375000</v>
      </c>
      <c r="K58" s="33">
        <v>1750000</v>
      </c>
      <c r="L58" s="38">
        <v>0</v>
      </c>
      <c r="M58" s="36">
        <v>0</v>
      </c>
    </row>
    <row r="59" spans="1:13" x14ac:dyDescent="0.25">
      <c r="A59" t="s">
        <v>11</v>
      </c>
      <c r="B59" t="s">
        <v>12</v>
      </c>
      <c r="C59" t="s">
        <v>185</v>
      </c>
      <c r="D59" s="9">
        <v>8548</v>
      </c>
      <c r="E59" t="s">
        <v>253</v>
      </c>
      <c r="F59" t="s">
        <v>97</v>
      </c>
      <c r="G59" t="s">
        <v>252</v>
      </c>
      <c r="H59" s="28">
        <f>SUM(I59:M59)</f>
        <v>2650000</v>
      </c>
      <c r="I59" s="30">
        <v>0</v>
      </c>
      <c r="J59" s="26">
        <v>0</v>
      </c>
      <c r="K59" s="33">
        <v>1650000</v>
      </c>
      <c r="L59" s="38">
        <v>1000000</v>
      </c>
      <c r="M59" s="36">
        <v>0</v>
      </c>
    </row>
    <row r="60" spans="1:13" x14ac:dyDescent="0.25">
      <c r="A60" t="s">
        <v>49</v>
      </c>
      <c r="B60" t="s">
        <v>12</v>
      </c>
      <c r="C60" t="s">
        <v>185</v>
      </c>
      <c r="D60" s="9" t="s">
        <v>50</v>
      </c>
      <c r="E60" t="s">
        <v>270</v>
      </c>
      <c r="F60" t="s">
        <v>51</v>
      </c>
      <c r="G60" t="s">
        <v>51</v>
      </c>
      <c r="H60" s="28">
        <f>SUM(I60:M60)</f>
        <v>4467879.2382812491</v>
      </c>
      <c r="I60" s="30">
        <v>850000</v>
      </c>
      <c r="J60" s="26">
        <v>871249.99999999988</v>
      </c>
      <c r="K60" s="33">
        <v>893031.24999999977</v>
      </c>
      <c r="L60" s="38">
        <v>915357.03124999965</v>
      </c>
      <c r="M60" s="36">
        <v>938240.95703124953</v>
      </c>
    </row>
    <row r="61" spans="1:13" x14ac:dyDescent="0.25">
      <c r="A61" t="s">
        <v>11</v>
      </c>
      <c r="B61" t="s">
        <v>12</v>
      </c>
      <c r="C61" t="s">
        <v>237</v>
      </c>
      <c r="D61" s="9" t="s">
        <v>234</v>
      </c>
      <c r="E61" t="s">
        <v>279</v>
      </c>
      <c r="F61" t="s">
        <v>62</v>
      </c>
      <c r="G61" t="s">
        <v>51</v>
      </c>
      <c r="H61" s="28">
        <v>250099</v>
      </c>
      <c r="I61" s="30">
        <v>250099</v>
      </c>
      <c r="J61" s="26">
        <v>0</v>
      </c>
      <c r="K61" s="33">
        <v>0</v>
      </c>
      <c r="L61" s="38">
        <v>0</v>
      </c>
      <c r="M61" s="36">
        <v>0</v>
      </c>
    </row>
    <row r="62" spans="1:13" x14ac:dyDescent="0.25">
      <c r="A62" t="s">
        <v>49</v>
      </c>
      <c r="B62" t="s">
        <v>12</v>
      </c>
      <c r="C62" t="s">
        <v>204</v>
      </c>
      <c r="D62" s="9" t="s">
        <v>50</v>
      </c>
      <c r="E62" t="s">
        <v>271</v>
      </c>
      <c r="F62" t="s">
        <v>51</v>
      </c>
      <c r="G62" t="s">
        <v>51</v>
      </c>
      <c r="H62" s="28">
        <f>SUM(I62:M62)</f>
        <v>2826257.8125</v>
      </c>
      <c r="I62" s="30">
        <v>750000</v>
      </c>
      <c r="J62" s="26">
        <v>500000</v>
      </c>
      <c r="K62" s="33">
        <v>512499.99999999994</v>
      </c>
      <c r="L62" s="38">
        <v>525312.49999999988</v>
      </c>
      <c r="M62" s="36">
        <v>538445.31249999988</v>
      </c>
    </row>
    <row r="63" spans="1:13" x14ac:dyDescent="0.25">
      <c r="A63" t="s">
        <v>11</v>
      </c>
      <c r="B63" s="40" t="s">
        <v>1</v>
      </c>
      <c r="C63" t="s">
        <v>204</v>
      </c>
      <c r="D63" s="9">
        <v>7157</v>
      </c>
      <c r="E63" t="s">
        <v>263</v>
      </c>
      <c r="F63" t="s">
        <v>25</v>
      </c>
      <c r="G63" t="s">
        <v>261</v>
      </c>
      <c r="H63" s="28">
        <f>SUM(I63:M63)</f>
        <v>89134</v>
      </c>
      <c r="I63" s="30">
        <v>89134</v>
      </c>
      <c r="J63" s="26">
        <v>0</v>
      </c>
      <c r="K63" s="33">
        <v>0</v>
      </c>
      <c r="L63" s="38">
        <v>0</v>
      </c>
      <c r="M63" s="36">
        <v>0</v>
      </c>
    </row>
    <row r="64" spans="1:13" x14ac:dyDescent="0.25">
      <c r="A64" t="s">
        <v>11</v>
      </c>
      <c r="B64" s="40" t="s">
        <v>12</v>
      </c>
      <c r="C64" t="s">
        <v>204</v>
      </c>
      <c r="D64" s="9">
        <v>7157</v>
      </c>
      <c r="E64" t="s">
        <v>263</v>
      </c>
      <c r="F64" t="s">
        <v>25</v>
      </c>
      <c r="G64" t="s">
        <v>261</v>
      </c>
      <c r="H64" s="28">
        <f>SUM(I64:M64)</f>
        <v>220476</v>
      </c>
      <c r="I64" s="30">
        <v>220476</v>
      </c>
      <c r="J64" s="26">
        <v>0</v>
      </c>
      <c r="K64" s="33">
        <v>0</v>
      </c>
      <c r="L64" s="38">
        <v>0</v>
      </c>
      <c r="M64" s="36">
        <v>0</v>
      </c>
    </row>
    <row r="65" spans="1:13" x14ac:dyDescent="0.25">
      <c r="A65" t="s">
        <v>11</v>
      </c>
      <c r="B65" t="s">
        <v>1</v>
      </c>
      <c r="C65" t="s">
        <v>204</v>
      </c>
      <c r="D65" s="9">
        <v>8119</v>
      </c>
      <c r="E65" t="s">
        <v>262</v>
      </c>
      <c r="F65" t="s">
        <v>25</v>
      </c>
      <c r="G65" t="s">
        <v>261</v>
      </c>
      <c r="H65" s="28">
        <f>SUM(I65:M65)</f>
        <v>130000</v>
      </c>
      <c r="I65" s="30">
        <v>0</v>
      </c>
      <c r="J65" s="26">
        <v>130000</v>
      </c>
      <c r="K65" s="33">
        <v>0</v>
      </c>
      <c r="L65" s="38">
        <v>0</v>
      </c>
      <c r="M65" s="36">
        <v>0</v>
      </c>
    </row>
    <row r="66" spans="1:13" x14ac:dyDescent="0.25">
      <c r="A66" t="s">
        <v>11</v>
      </c>
      <c r="B66" t="s">
        <v>12</v>
      </c>
      <c r="C66" t="s">
        <v>204</v>
      </c>
      <c r="D66" s="9">
        <v>8119</v>
      </c>
      <c r="E66" t="s">
        <v>262</v>
      </c>
      <c r="F66" t="s">
        <v>25</v>
      </c>
      <c r="G66" t="s">
        <v>261</v>
      </c>
      <c r="H66" s="28">
        <f>SUM(I66:M66)</f>
        <v>1700099</v>
      </c>
      <c r="I66" s="30">
        <v>1200000</v>
      </c>
      <c r="J66" s="26">
        <v>500099</v>
      </c>
      <c r="K66" s="33">
        <v>0</v>
      </c>
      <c r="L66" s="38">
        <v>0</v>
      </c>
      <c r="M66" s="36">
        <v>0</v>
      </c>
    </row>
    <row r="67" spans="1:13" x14ac:dyDescent="0.25">
      <c r="A67" t="s">
        <v>11</v>
      </c>
      <c r="B67" t="s">
        <v>12</v>
      </c>
      <c r="C67" t="s">
        <v>204</v>
      </c>
      <c r="D67" s="9">
        <v>7692</v>
      </c>
      <c r="E67" t="s">
        <v>264</v>
      </c>
      <c r="F67" t="s">
        <v>16</v>
      </c>
      <c r="G67" t="s">
        <v>261</v>
      </c>
      <c r="H67" s="28">
        <f>SUM(I67:M67)</f>
        <v>1575000</v>
      </c>
      <c r="I67" s="30">
        <v>1275000</v>
      </c>
      <c r="J67" s="26">
        <v>300000</v>
      </c>
      <c r="K67" s="33">
        <v>0</v>
      </c>
      <c r="L67" s="38">
        <v>0</v>
      </c>
      <c r="M67" s="36">
        <v>0</v>
      </c>
    </row>
    <row r="68" spans="1:13" x14ac:dyDescent="0.25">
      <c r="A68" t="s">
        <v>11</v>
      </c>
      <c r="B68" t="s">
        <v>1</v>
      </c>
      <c r="C68" t="s">
        <v>204</v>
      </c>
      <c r="D68" s="9">
        <v>7692</v>
      </c>
      <c r="E68" t="s">
        <v>264</v>
      </c>
      <c r="F68" t="s">
        <v>16</v>
      </c>
      <c r="G68" t="s">
        <v>261</v>
      </c>
      <c r="H68" s="28">
        <f>SUM(I68:M68)</f>
        <v>256000</v>
      </c>
      <c r="I68" s="30">
        <v>64000</v>
      </c>
      <c r="J68" s="26">
        <v>192000</v>
      </c>
      <c r="K68" s="33">
        <v>0</v>
      </c>
      <c r="L68" s="38">
        <v>0</v>
      </c>
      <c r="M68" s="36">
        <v>0</v>
      </c>
    </row>
    <row r="69" spans="1:13" x14ac:dyDescent="0.25">
      <c r="A69" t="s">
        <v>11</v>
      </c>
      <c r="B69" t="s">
        <v>1</v>
      </c>
      <c r="C69" t="s">
        <v>204</v>
      </c>
      <c r="D69" s="9">
        <v>8499</v>
      </c>
      <c r="E69" t="s">
        <v>256</v>
      </c>
      <c r="F69" t="s">
        <v>238</v>
      </c>
      <c r="G69" t="s">
        <v>248</v>
      </c>
      <c r="H69" s="28">
        <f>SUM(I69:M69)</f>
        <v>105000</v>
      </c>
      <c r="I69" s="30">
        <v>105000</v>
      </c>
      <c r="J69" s="26">
        <v>0</v>
      </c>
      <c r="K69" s="33">
        <v>0</v>
      </c>
      <c r="L69" s="38">
        <v>0</v>
      </c>
      <c r="M69" s="36">
        <v>0</v>
      </c>
    </row>
    <row r="70" spans="1:13" x14ac:dyDescent="0.25">
      <c r="A70" t="s">
        <v>11</v>
      </c>
      <c r="B70" t="s">
        <v>12</v>
      </c>
      <c r="C70" t="s">
        <v>204</v>
      </c>
      <c r="D70" s="9">
        <v>8499</v>
      </c>
      <c r="E70" t="s">
        <v>256</v>
      </c>
      <c r="F70" t="s">
        <v>238</v>
      </c>
      <c r="G70" t="s">
        <v>248</v>
      </c>
      <c r="H70" s="28">
        <f>SUM(I70:M70)</f>
        <v>1231997</v>
      </c>
      <c r="I70" s="30">
        <v>1231997</v>
      </c>
      <c r="J70" s="26">
        <v>0</v>
      </c>
      <c r="K70" s="33">
        <v>0</v>
      </c>
      <c r="L70" s="38">
        <v>0</v>
      </c>
      <c r="M70" s="36">
        <v>0</v>
      </c>
    </row>
    <row r="71" spans="1:13" x14ac:dyDescent="0.25">
      <c r="A71" t="s">
        <v>11</v>
      </c>
      <c r="B71" s="40" t="s">
        <v>1</v>
      </c>
      <c r="C71" t="s">
        <v>204</v>
      </c>
      <c r="D71" s="9" t="s">
        <v>234</v>
      </c>
      <c r="E71" t="s">
        <v>257</v>
      </c>
      <c r="F71" t="s">
        <v>238</v>
      </c>
      <c r="G71" t="s">
        <v>248</v>
      </c>
      <c r="H71" s="28">
        <f>SUM(I71:M71)</f>
        <v>193500</v>
      </c>
      <c r="I71" s="30">
        <v>0</v>
      </c>
      <c r="J71" s="26">
        <f>43*4500</f>
        <v>193500</v>
      </c>
      <c r="K71" s="33">
        <v>0</v>
      </c>
      <c r="L71" s="38">
        <v>0</v>
      </c>
      <c r="M71" s="36">
        <v>0</v>
      </c>
    </row>
    <row r="72" spans="1:13" x14ac:dyDescent="0.25">
      <c r="A72" t="s">
        <v>11</v>
      </c>
      <c r="B72" t="s">
        <v>12</v>
      </c>
      <c r="C72" t="s">
        <v>204</v>
      </c>
      <c r="D72" s="9" t="s">
        <v>234</v>
      </c>
      <c r="E72" t="s">
        <v>257</v>
      </c>
      <c r="F72" t="s">
        <v>238</v>
      </c>
      <c r="G72" t="s">
        <v>248</v>
      </c>
      <c r="H72" s="28">
        <f>SUM(I72:M72)</f>
        <v>1350099</v>
      </c>
      <c r="I72" s="30">
        <v>0</v>
      </c>
      <c r="J72" s="26">
        <v>1000000</v>
      </c>
      <c r="K72" s="33">
        <v>350099</v>
      </c>
      <c r="L72" s="38">
        <v>0</v>
      </c>
      <c r="M72" s="36">
        <v>0</v>
      </c>
    </row>
    <row r="73" spans="1:13" x14ac:dyDescent="0.25">
      <c r="A73" t="s">
        <v>11</v>
      </c>
      <c r="B73" s="40" t="s">
        <v>1</v>
      </c>
      <c r="C73" t="s">
        <v>204</v>
      </c>
      <c r="D73" s="9">
        <v>8738</v>
      </c>
      <c r="E73" t="s">
        <v>258</v>
      </c>
      <c r="F73" t="s">
        <v>238</v>
      </c>
      <c r="G73" t="s">
        <v>248</v>
      </c>
      <c r="H73" s="28">
        <f>SUM(I73:M73)</f>
        <v>193500</v>
      </c>
      <c r="I73" s="30"/>
      <c r="J73" s="26">
        <f>43*4500</f>
        <v>193500</v>
      </c>
      <c r="K73" s="33">
        <v>0</v>
      </c>
      <c r="L73" s="38">
        <v>0</v>
      </c>
      <c r="M73" s="36">
        <v>0</v>
      </c>
    </row>
    <row r="74" spans="1:13" x14ac:dyDescent="0.25">
      <c r="A74" t="s">
        <v>11</v>
      </c>
      <c r="B74" t="s">
        <v>12</v>
      </c>
      <c r="C74" t="s">
        <v>204</v>
      </c>
      <c r="D74" s="9">
        <v>8738</v>
      </c>
      <c r="E74" t="s">
        <v>258</v>
      </c>
      <c r="F74" t="s">
        <v>238</v>
      </c>
      <c r="G74" t="s">
        <v>248</v>
      </c>
      <c r="H74" s="28">
        <f>SUM(I74:M74)</f>
        <v>2057852</v>
      </c>
      <c r="I74" s="30">
        <v>500000</v>
      </c>
      <c r="J74" s="26">
        <v>957852</v>
      </c>
      <c r="K74" s="33">
        <v>600000</v>
      </c>
      <c r="L74" s="38">
        <v>0</v>
      </c>
      <c r="M74" s="36">
        <v>0</v>
      </c>
    </row>
    <row r="75" spans="1:13" x14ac:dyDescent="0.25">
      <c r="A75" t="s">
        <v>49</v>
      </c>
      <c r="B75" t="s">
        <v>12</v>
      </c>
      <c r="C75" t="s">
        <v>242</v>
      </c>
      <c r="D75" s="9" t="s">
        <v>234</v>
      </c>
      <c r="E75" t="s">
        <v>272</v>
      </c>
      <c r="F75" t="s">
        <v>228</v>
      </c>
      <c r="G75" t="s">
        <v>51</v>
      </c>
      <c r="H75" s="28">
        <f>SUM(I75:M75)</f>
        <v>21025834.43902304</v>
      </c>
      <c r="I75" s="30">
        <v>4000099</v>
      </c>
      <c r="J75" s="26">
        <v>4100101.4749999996</v>
      </c>
      <c r="K75" s="33">
        <v>4202604.0118749989</v>
      </c>
      <c r="L75" s="38">
        <v>4307669.1121718735</v>
      </c>
      <c r="M75" s="36">
        <v>4415360.8399761701</v>
      </c>
    </row>
    <row r="76" spans="1:13" x14ac:dyDescent="0.25">
      <c r="A76" t="s">
        <v>49</v>
      </c>
      <c r="B76" t="s">
        <v>12</v>
      </c>
      <c r="C76" t="s">
        <v>208</v>
      </c>
      <c r="D76" s="9" t="s">
        <v>50</v>
      </c>
      <c r="E76" t="s">
        <v>271</v>
      </c>
      <c r="F76" t="s">
        <v>51</v>
      </c>
      <c r="G76" t="s">
        <v>51</v>
      </c>
      <c r="H76" s="28">
        <f>SUM(I76:M76)</f>
        <v>6570410.64453125</v>
      </c>
      <c r="I76" s="30">
        <v>1250000</v>
      </c>
      <c r="J76" s="26">
        <v>1281250</v>
      </c>
      <c r="K76" s="33">
        <v>1313281.25</v>
      </c>
      <c r="L76" s="38">
        <v>1346113.2812499998</v>
      </c>
      <c r="M76" s="36">
        <v>1379766.1132812495</v>
      </c>
    </row>
    <row r="77" spans="1:13" x14ac:dyDescent="0.25">
      <c r="A77" t="s">
        <v>49</v>
      </c>
      <c r="B77" t="s">
        <v>12</v>
      </c>
      <c r="C77" t="s">
        <v>217</v>
      </c>
      <c r="D77" s="9" t="s">
        <v>50</v>
      </c>
      <c r="E77" t="s">
        <v>271</v>
      </c>
      <c r="F77" t="s">
        <v>51</v>
      </c>
      <c r="G77" t="s">
        <v>51</v>
      </c>
      <c r="H77" s="28">
        <f>SUM(I77:M77)</f>
        <v>3705711.6035156241</v>
      </c>
      <c r="I77" s="30">
        <v>705000</v>
      </c>
      <c r="J77" s="26">
        <v>722624.99999999988</v>
      </c>
      <c r="K77" s="33">
        <v>740690.62499999977</v>
      </c>
      <c r="L77" s="38">
        <v>759207.89062499965</v>
      </c>
      <c r="M77" s="36">
        <v>778188.08789062453</v>
      </c>
    </row>
    <row r="78" spans="1:13" x14ac:dyDescent="0.25">
      <c r="A78" t="s">
        <v>11</v>
      </c>
      <c r="B78" t="s">
        <v>12</v>
      </c>
      <c r="C78" t="s">
        <v>217</v>
      </c>
      <c r="D78" s="9">
        <v>6964</v>
      </c>
      <c r="E78" t="s">
        <v>267</v>
      </c>
      <c r="F78" t="s">
        <v>108</v>
      </c>
      <c r="G78" t="s">
        <v>266</v>
      </c>
      <c r="H78" s="28">
        <f>SUM(I78:M78)</f>
        <v>2500000</v>
      </c>
      <c r="I78" s="30">
        <v>0</v>
      </c>
      <c r="J78" s="26">
        <v>2500000</v>
      </c>
      <c r="K78" s="33">
        <v>0</v>
      </c>
      <c r="L78" s="38">
        <v>0</v>
      </c>
      <c r="M78" s="36">
        <v>0</v>
      </c>
    </row>
    <row r="79" spans="1:13" x14ac:dyDescent="0.25">
      <c r="A79" t="s">
        <v>11</v>
      </c>
      <c r="B79" t="s">
        <v>231</v>
      </c>
      <c r="C79" t="s">
        <v>217</v>
      </c>
      <c r="D79" s="9">
        <v>9064</v>
      </c>
      <c r="E79" t="s">
        <v>269</v>
      </c>
      <c r="F79" t="s">
        <v>108</v>
      </c>
      <c r="G79" t="s">
        <v>266</v>
      </c>
      <c r="H79" s="28">
        <f>SUM(I79:M79)</f>
        <v>146000</v>
      </c>
      <c r="I79" s="30">
        <v>146000</v>
      </c>
      <c r="J79" s="26">
        <v>0</v>
      </c>
      <c r="K79" s="33">
        <v>0</v>
      </c>
      <c r="L79" s="38">
        <v>0</v>
      </c>
      <c r="M79" s="36">
        <v>0</v>
      </c>
    </row>
    <row r="80" spans="1:13" x14ac:dyDescent="0.25">
      <c r="A80" t="s">
        <v>11</v>
      </c>
      <c r="B80" s="40" t="s">
        <v>12</v>
      </c>
      <c r="C80" t="s">
        <v>217</v>
      </c>
      <c r="D80" s="9">
        <v>5404</v>
      </c>
      <c r="E80" t="s">
        <v>249</v>
      </c>
      <c r="F80" t="s">
        <v>212</v>
      </c>
      <c r="G80" t="s">
        <v>250</v>
      </c>
      <c r="H80" s="28">
        <f>SUM(I80:M80)</f>
        <v>4994398</v>
      </c>
      <c r="I80" s="30">
        <v>1000000</v>
      </c>
      <c r="J80" s="26">
        <v>3094398</v>
      </c>
      <c r="K80" s="33">
        <v>900000</v>
      </c>
      <c r="L80" s="38">
        <v>0</v>
      </c>
      <c r="M80" s="36">
        <v>0</v>
      </c>
    </row>
    <row r="81" spans="1:13" x14ac:dyDescent="0.25">
      <c r="A81" t="s">
        <v>11</v>
      </c>
      <c r="B81" t="s">
        <v>12</v>
      </c>
      <c r="C81" t="s">
        <v>217</v>
      </c>
      <c r="D81" s="9">
        <v>8265</v>
      </c>
      <c r="E81" t="s">
        <v>255</v>
      </c>
      <c r="F81" t="s">
        <v>117</v>
      </c>
      <c r="G81" t="s">
        <v>252</v>
      </c>
      <c r="H81" s="28">
        <f>SUM(I81:M81)</f>
        <v>4360000</v>
      </c>
      <c r="I81" s="30">
        <v>0</v>
      </c>
      <c r="J81" s="26">
        <v>2000000</v>
      </c>
      <c r="K81" s="33">
        <v>1860000</v>
      </c>
      <c r="L81" s="38">
        <v>500000</v>
      </c>
      <c r="M81" s="36">
        <v>0</v>
      </c>
    </row>
    <row r="82" spans="1:13" x14ac:dyDescent="0.25">
      <c r="A82" t="s">
        <v>11</v>
      </c>
      <c r="B82" t="s">
        <v>12</v>
      </c>
      <c r="C82" t="s">
        <v>217</v>
      </c>
      <c r="D82" s="9">
        <v>8265</v>
      </c>
      <c r="E82" t="s">
        <v>254</v>
      </c>
      <c r="F82" t="s">
        <v>117</v>
      </c>
      <c r="G82" t="s">
        <v>252</v>
      </c>
      <c r="H82" s="28">
        <f>SUM(I82:M82)</f>
        <v>3640000</v>
      </c>
      <c r="I82" s="30">
        <v>0</v>
      </c>
      <c r="J82" s="26">
        <v>0</v>
      </c>
      <c r="K82" s="33">
        <v>2140000</v>
      </c>
      <c r="L82" s="38">
        <v>1500000</v>
      </c>
      <c r="M82" s="36">
        <v>0</v>
      </c>
    </row>
    <row r="83" spans="1:13" x14ac:dyDescent="0.25">
      <c r="A83" t="s">
        <v>11</v>
      </c>
      <c r="B83" s="40" t="s">
        <v>12</v>
      </c>
      <c r="C83" t="s">
        <v>217</v>
      </c>
      <c r="D83" s="9">
        <v>6446</v>
      </c>
      <c r="E83" t="s">
        <v>259</v>
      </c>
      <c r="F83" t="s">
        <v>212</v>
      </c>
      <c r="G83" t="s">
        <v>250</v>
      </c>
      <c r="H83" s="28">
        <f>SUM(I83:M83)</f>
        <v>16622186</v>
      </c>
      <c r="I83" s="30">
        <v>2475000</v>
      </c>
      <c r="J83" s="26">
        <v>6000000</v>
      </c>
      <c r="K83" s="33">
        <v>8147186</v>
      </c>
      <c r="L83" s="38">
        <v>0</v>
      </c>
      <c r="M83" s="36">
        <v>0</v>
      </c>
    </row>
    <row r="84" spans="1:13" x14ac:dyDescent="0.25">
      <c r="A84" t="s">
        <v>11</v>
      </c>
      <c r="B84" t="s">
        <v>1</v>
      </c>
      <c r="C84" t="s">
        <v>217</v>
      </c>
      <c r="D84" s="9">
        <v>6446</v>
      </c>
      <c r="E84" t="s">
        <v>259</v>
      </c>
      <c r="F84" t="s">
        <v>212</v>
      </c>
      <c r="G84" t="s">
        <v>250</v>
      </c>
      <c r="H84" s="28">
        <f>SUM(I84:M84)</f>
        <v>321080</v>
      </c>
      <c r="I84" s="30">
        <v>50000</v>
      </c>
      <c r="J84" s="26">
        <v>150000</v>
      </c>
      <c r="K84" s="33">
        <v>121080</v>
      </c>
      <c r="L84" s="38">
        <v>0</v>
      </c>
      <c r="M84" s="36">
        <v>0</v>
      </c>
    </row>
    <row r="85" spans="1:13" x14ac:dyDescent="0.25">
      <c r="A85" t="s">
        <v>11</v>
      </c>
      <c r="B85" s="40" t="s">
        <v>12</v>
      </c>
      <c r="C85" t="s">
        <v>217</v>
      </c>
      <c r="D85" s="9">
        <v>6027</v>
      </c>
      <c r="E85" t="s">
        <v>260</v>
      </c>
      <c r="F85" t="s">
        <v>108</v>
      </c>
      <c r="G85" t="s">
        <v>250</v>
      </c>
      <c r="H85" s="28">
        <f>SUM(I85:M85)</f>
        <v>478860</v>
      </c>
      <c r="I85" s="30">
        <v>478860</v>
      </c>
      <c r="J85" s="26">
        <v>0</v>
      </c>
      <c r="K85" s="33">
        <v>0</v>
      </c>
      <c r="L85" s="38">
        <v>0</v>
      </c>
      <c r="M85" s="36">
        <v>0</v>
      </c>
    </row>
    <row r="86" spans="1:13" x14ac:dyDescent="0.25">
      <c r="A86" t="s">
        <v>49</v>
      </c>
      <c r="B86" t="s">
        <v>12</v>
      </c>
      <c r="C86" t="s">
        <v>221</v>
      </c>
      <c r="D86" s="9" t="s">
        <v>50</v>
      </c>
      <c r="E86" t="s">
        <v>271</v>
      </c>
      <c r="F86" t="s">
        <v>51</v>
      </c>
      <c r="G86" t="s">
        <v>51</v>
      </c>
      <c r="H86" s="28">
        <f>SUM(I86:M86)</f>
        <v>1051265.7031249998</v>
      </c>
      <c r="I86" s="30">
        <v>200000</v>
      </c>
      <c r="J86" s="26">
        <v>204999.99999999997</v>
      </c>
      <c r="K86" s="33">
        <v>210124.99999999994</v>
      </c>
      <c r="L86" s="38">
        <v>215378.12499999991</v>
      </c>
      <c r="M86" s="36">
        <v>220762.57812499988</v>
      </c>
    </row>
    <row r="87" spans="1:13" x14ac:dyDescent="0.25">
      <c r="A87" t="s">
        <v>11</v>
      </c>
      <c r="B87" t="s">
        <v>12</v>
      </c>
      <c r="C87" t="s">
        <v>221</v>
      </c>
      <c r="D87" s="9" t="s">
        <v>234</v>
      </c>
      <c r="E87" t="s">
        <v>278</v>
      </c>
      <c r="F87" t="s">
        <v>240</v>
      </c>
      <c r="G87" t="s">
        <v>276</v>
      </c>
      <c r="H87" s="28">
        <f>SUM(I87:M87)</f>
        <v>2700099</v>
      </c>
      <c r="I87" s="30">
        <v>0</v>
      </c>
      <c r="J87" s="26">
        <v>2000099</v>
      </c>
      <c r="K87" s="33">
        <v>700000</v>
      </c>
      <c r="L87" s="38">
        <v>0</v>
      </c>
      <c r="M87" s="36">
        <v>0</v>
      </c>
    </row>
    <row r="88" spans="1:13" x14ac:dyDescent="0.25">
      <c r="A88" t="s">
        <v>11</v>
      </c>
      <c r="B88" t="s">
        <v>12</v>
      </c>
      <c r="C88" t="s">
        <v>221</v>
      </c>
      <c r="D88" s="9">
        <v>8437</v>
      </c>
      <c r="E88" t="s">
        <v>277</v>
      </c>
      <c r="F88" t="s">
        <v>232</v>
      </c>
      <c r="G88" t="s">
        <v>276</v>
      </c>
      <c r="H88" s="28">
        <f>SUM(I88:M88)</f>
        <v>846965</v>
      </c>
      <c r="I88" s="30">
        <v>846965</v>
      </c>
      <c r="J88" s="26">
        <v>0</v>
      </c>
      <c r="K88" s="33">
        <v>0</v>
      </c>
      <c r="L88" s="38">
        <v>0</v>
      </c>
      <c r="M88" s="36">
        <v>0</v>
      </c>
    </row>
    <row r="89" spans="1:13" x14ac:dyDescent="0.25">
      <c r="A89" t="s">
        <v>11</v>
      </c>
      <c r="B89" t="s">
        <v>1</v>
      </c>
      <c r="C89" t="s">
        <v>221</v>
      </c>
      <c r="D89" s="9">
        <v>8437</v>
      </c>
      <c r="E89" t="s">
        <v>277</v>
      </c>
      <c r="F89" t="s">
        <v>232</v>
      </c>
      <c r="G89" t="s">
        <v>276</v>
      </c>
      <c r="H89" s="28">
        <f>SUM(I89:M89)</f>
        <v>114099</v>
      </c>
      <c r="I89" s="30">
        <v>114099</v>
      </c>
      <c r="J89" s="26">
        <v>0</v>
      </c>
      <c r="K89" s="33">
        <v>0</v>
      </c>
      <c r="L89" s="38">
        <v>0</v>
      </c>
      <c r="M89" s="36">
        <v>0</v>
      </c>
    </row>
    <row r="90" spans="1:13" x14ac:dyDescent="0.25">
      <c r="D90"/>
      <c r="H90" s="41"/>
      <c r="I90" s="22"/>
      <c r="J90" s="22"/>
      <c r="K90" s="22"/>
      <c r="L90" s="22"/>
    </row>
    <row r="91" spans="1:13" x14ac:dyDescent="0.25">
      <c r="H91" s="29"/>
    </row>
    <row r="92" spans="1:13" x14ac:dyDescent="0.25">
      <c r="H92"/>
      <c r="I92"/>
      <c r="J92"/>
      <c r="K92"/>
      <c r="L92"/>
    </row>
    <row r="93" spans="1:13" x14ac:dyDescent="0.25">
      <c r="E93" s="1"/>
    </row>
    <row r="94" spans="1:13" x14ac:dyDescent="0.25">
      <c r="G94" s="27"/>
      <c r="H94" s="34"/>
    </row>
    <row r="95" spans="1:13" x14ac:dyDescent="0.25">
      <c r="F95" s="27"/>
      <c r="G95" s="27"/>
    </row>
    <row r="96" spans="1:13" x14ac:dyDescent="0.25">
      <c r="F96" s="27"/>
      <c r="G96" s="27"/>
      <c r="H96" s="22"/>
      <c r="I96" s="22"/>
    </row>
    <row r="97" spans="7:9" x14ac:dyDescent="0.25">
      <c r="G97" s="27"/>
      <c r="H97" s="22"/>
      <c r="I97" s="22"/>
    </row>
    <row r="98" spans="7:9" x14ac:dyDescent="0.25">
      <c r="G98" s="27"/>
      <c r="H98" s="22"/>
      <c r="I98" s="22"/>
    </row>
    <row r="99" spans="7:9" x14ac:dyDescent="0.25">
      <c r="H99" s="22"/>
      <c r="I99" s="22"/>
    </row>
    <row r="100" spans="7:9" x14ac:dyDescent="0.25">
      <c r="H100" s="22"/>
      <c r="I100" s="22"/>
    </row>
  </sheetData>
  <autoFilter ref="A8:M90" xr:uid="{759E6A8C-473C-4C55-8D06-6B5E480B9A6B}">
    <sortState xmlns:xlrd2="http://schemas.microsoft.com/office/spreadsheetml/2017/richdata2" ref="A9:M90">
      <sortCondition ref="C8:C9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3E9D-2B7F-4856-B0C2-A8369516A0B5}">
  <dimension ref="A1:O226"/>
  <sheetViews>
    <sheetView showGridLines="0" workbookViewId="0">
      <selection activeCell="G27" sqref="G27"/>
    </sheetView>
  </sheetViews>
  <sheetFormatPr defaultColWidth="9.140625" defaultRowHeight="15" x14ac:dyDescent="0.25"/>
  <cols>
    <col min="1" max="1" width="16" bestFit="1" customWidth="1"/>
    <col min="2" max="2" width="10.28515625" bestFit="1" customWidth="1"/>
    <col min="3" max="3" width="17.42578125" bestFit="1" customWidth="1"/>
    <col min="4" max="4" width="4.85546875" bestFit="1" customWidth="1"/>
    <col min="5" max="5" width="15.7109375" bestFit="1" customWidth="1"/>
    <col min="6" max="6" width="45.7109375" bestFit="1" customWidth="1"/>
    <col min="7" max="7" width="16.42578125" bestFit="1" customWidth="1"/>
    <col min="8" max="8" width="39.5703125" customWidth="1"/>
    <col min="9" max="9" width="9" bestFit="1" customWidth="1"/>
    <col min="10" max="10" width="18.28515625" bestFit="1" customWidth="1"/>
    <col min="11" max="11" width="16.85546875" customWidth="1"/>
    <col min="12" max="15" width="14.42578125" customWidth="1"/>
  </cols>
  <sheetData>
    <row r="1" spans="1:15" ht="15.75" thickBo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0" t="s">
        <v>9</v>
      </c>
      <c r="K1" s="4" t="s">
        <v>10</v>
      </c>
      <c r="L1" s="5">
        <v>2024</v>
      </c>
      <c r="M1" s="7">
        <v>2025</v>
      </c>
      <c r="N1" s="6">
        <v>2026</v>
      </c>
      <c r="O1" s="2">
        <v>2027</v>
      </c>
    </row>
    <row r="2" spans="1:15" x14ac:dyDescent="0.25">
      <c r="A2" t="s">
        <v>11</v>
      </c>
      <c r="B2" t="s">
        <v>12</v>
      </c>
      <c r="C2" t="s">
        <v>13</v>
      </c>
      <c r="D2" t="s">
        <v>14</v>
      </c>
      <c r="E2">
        <v>2342</v>
      </c>
      <c r="F2" t="s">
        <v>15</v>
      </c>
      <c r="G2" t="s">
        <v>16</v>
      </c>
      <c r="H2" t="s">
        <v>17</v>
      </c>
      <c r="I2" t="s">
        <v>18</v>
      </c>
      <c r="J2" s="9" t="s">
        <v>19</v>
      </c>
      <c r="K2" s="11">
        <v>0</v>
      </c>
      <c r="L2" s="15">
        <v>0</v>
      </c>
      <c r="M2" s="19">
        <v>0</v>
      </c>
      <c r="N2" s="16">
        <v>0</v>
      </c>
      <c r="O2" s="12">
        <v>0</v>
      </c>
    </row>
    <row r="3" spans="1:15" x14ac:dyDescent="0.25">
      <c r="A3" t="s">
        <v>11</v>
      </c>
      <c r="B3" t="s">
        <v>12</v>
      </c>
      <c r="C3" t="s">
        <v>13</v>
      </c>
      <c r="D3" t="s">
        <v>14</v>
      </c>
      <c r="E3">
        <v>2440</v>
      </c>
      <c r="F3" t="s">
        <v>20</v>
      </c>
      <c r="G3" t="s">
        <v>21</v>
      </c>
      <c r="H3" t="s">
        <v>22</v>
      </c>
      <c r="I3" t="s">
        <v>18</v>
      </c>
      <c r="J3" s="9" t="s">
        <v>23</v>
      </c>
      <c r="K3" s="13">
        <v>0</v>
      </c>
      <c r="L3" s="17">
        <v>0</v>
      </c>
      <c r="M3" s="20">
        <v>0</v>
      </c>
      <c r="N3" s="18">
        <v>0</v>
      </c>
      <c r="O3" s="14">
        <v>0</v>
      </c>
    </row>
    <row r="4" spans="1:15" x14ac:dyDescent="0.25">
      <c r="A4" t="s">
        <v>11</v>
      </c>
      <c r="B4" t="s">
        <v>12</v>
      </c>
      <c r="C4" t="s">
        <v>13</v>
      </c>
      <c r="D4" t="s">
        <v>14</v>
      </c>
      <c r="E4">
        <v>2664</v>
      </c>
      <c r="F4" t="s">
        <v>24</v>
      </c>
      <c r="G4" t="s">
        <v>25</v>
      </c>
      <c r="H4" t="s">
        <v>26</v>
      </c>
      <c r="I4" t="s">
        <v>18</v>
      </c>
      <c r="J4" s="9" t="s">
        <v>27</v>
      </c>
      <c r="K4" s="13">
        <v>0</v>
      </c>
      <c r="L4" s="17">
        <v>0</v>
      </c>
      <c r="M4" s="20">
        <v>0</v>
      </c>
      <c r="N4" s="18">
        <v>0</v>
      </c>
      <c r="O4" s="14">
        <v>0</v>
      </c>
    </row>
    <row r="5" spans="1:15" x14ac:dyDescent="0.25">
      <c r="A5" t="s">
        <v>11</v>
      </c>
      <c r="B5" t="s">
        <v>12</v>
      </c>
      <c r="C5" t="s">
        <v>13</v>
      </c>
      <c r="D5" t="s">
        <v>14</v>
      </c>
      <c r="E5">
        <v>3185</v>
      </c>
      <c r="F5" t="s">
        <v>30</v>
      </c>
      <c r="G5" t="s">
        <v>28</v>
      </c>
      <c r="H5" t="s">
        <v>29</v>
      </c>
      <c r="I5" t="s">
        <v>18</v>
      </c>
      <c r="J5" s="9" t="s">
        <v>31</v>
      </c>
      <c r="K5" s="13">
        <v>0</v>
      </c>
      <c r="L5" s="17">
        <v>0</v>
      </c>
      <c r="M5" s="20">
        <v>0</v>
      </c>
      <c r="N5" s="18">
        <v>0</v>
      </c>
      <c r="O5" s="14">
        <v>0</v>
      </c>
    </row>
    <row r="6" spans="1:15" x14ac:dyDescent="0.25">
      <c r="A6" t="s">
        <v>11</v>
      </c>
      <c r="B6" t="s">
        <v>12</v>
      </c>
      <c r="C6" t="s">
        <v>13</v>
      </c>
      <c r="D6" t="s">
        <v>14</v>
      </c>
      <c r="E6">
        <v>3317</v>
      </c>
      <c r="F6" t="s">
        <v>32</v>
      </c>
      <c r="G6" t="s">
        <v>33</v>
      </c>
      <c r="H6" t="s">
        <v>29</v>
      </c>
      <c r="I6" t="s">
        <v>18</v>
      </c>
      <c r="J6" s="9" t="s">
        <v>34</v>
      </c>
      <c r="K6" s="13">
        <v>0</v>
      </c>
      <c r="L6" s="17">
        <v>0</v>
      </c>
      <c r="M6" s="20">
        <v>0</v>
      </c>
      <c r="N6" s="18">
        <v>0</v>
      </c>
      <c r="O6" s="14">
        <v>0</v>
      </c>
    </row>
    <row r="7" spans="1:15" x14ac:dyDescent="0.25">
      <c r="A7" t="s">
        <v>11</v>
      </c>
      <c r="B7" t="s">
        <v>12</v>
      </c>
      <c r="C7" t="s">
        <v>13</v>
      </c>
      <c r="D7" t="s">
        <v>14</v>
      </c>
      <c r="E7">
        <v>3738</v>
      </c>
      <c r="F7" t="s">
        <v>35</v>
      </c>
      <c r="G7" t="s">
        <v>36</v>
      </c>
      <c r="H7" t="s">
        <v>37</v>
      </c>
      <c r="I7" t="s">
        <v>18</v>
      </c>
      <c r="J7" s="9" t="s">
        <v>38</v>
      </c>
      <c r="K7" s="13">
        <v>0</v>
      </c>
      <c r="L7" s="17">
        <v>0</v>
      </c>
      <c r="M7" s="20">
        <v>0</v>
      </c>
      <c r="N7" s="18">
        <v>0</v>
      </c>
      <c r="O7" s="14">
        <v>0</v>
      </c>
    </row>
    <row r="8" spans="1:15" x14ac:dyDescent="0.25">
      <c r="A8" t="s">
        <v>11</v>
      </c>
      <c r="B8" t="s">
        <v>12</v>
      </c>
      <c r="C8" t="s">
        <v>13</v>
      </c>
      <c r="D8" t="s">
        <v>14</v>
      </c>
      <c r="E8">
        <v>4053</v>
      </c>
      <c r="F8" t="s">
        <v>40</v>
      </c>
      <c r="G8" t="s">
        <v>41</v>
      </c>
      <c r="H8" t="s">
        <v>42</v>
      </c>
      <c r="I8" t="s">
        <v>18</v>
      </c>
      <c r="J8" s="9" t="s">
        <v>43</v>
      </c>
      <c r="K8" s="13">
        <v>0</v>
      </c>
      <c r="L8" s="17">
        <v>0</v>
      </c>
      <c r="M8" s="20">
        <v>0</v>
      </c>
      <c r="N8" s="18">
        <v>0</v>
      </c>
      <c r="O8" s="14">
        <v>0</v>
      </c>
    </row>
    <row r="9" spans="1:15" x14ac:dyDescent="0.25">
      <c r="A9" t="s">
        <v>11</v>
      </c>
      <c r="B9" t="s">
        <v>12</v>
      </c>
      <c r="C9" t="s">
        <v>13</v>
      </c>
      <c r="D9" t="s">
        <v>14</v>
      </c>
      <c r="E9">
        <v>4182</v>
      </c>
      <c r="F9" t="s">
        <v>44</v>
      </c>
      <c r="G9" t="s">
        <v>45</v>
      </c>
      <c r="H9" t="s">
        <v>26</v>
      </c>
      <c r="I9" t="s">
        <v>18</v>
      </c>
      <c r="J9" s="9" t="s">
        <v>46</v>
      </c>
      <c r="K9" s="13">
        <v>0</v>
      </c>
      <c r="L9" s="17">
        <v>0</v>
      </c>
      <c r="M9" s="20">
        <v>0</v>
      </c>
      <c r="N9" s="18">
        <v>0</v>
      </c>
      <c r="O9" s="14">
        <v>0</v>
      </c>
    </row>
    <row r="10" spans="1:15" x14ac:dyDescent="0.25">
      <c r="A10" t="s">
        <v>11</v>
      </c>
      <c r="B10" t="s">
        <v>12</v>
      </c>
      <c r="C10" t="s">
        <v>52</v>
      </c>
      <c r="D10" t="s">
        <v>53</v>
      </c>
      <c r="E10">
        <v>2461</v>
      </c>
      <c r="F10" t="s">
        <v>55</v>
      </c>
      <c r="G10" t="s">
        <v>56</v>
      </c>
      <c r="H10" t="s">
        <v>57</v>
      </c>
      <c r="I10" t="s">
        <v>18</v>
      </c>
      <c r="J10" s="9" t="s">
        <v>58</v>
      </c>
      <c r="K10" s="13">
        <v>0</v>
      </c>
      <c r="L10" s="17">
        <v>0</v>
      </c>
      <c r="M10" s="20">
        <v>0</v>
      </c>
      <c r="N10" s="18">
        <v>0</v>
      </c>
      <c r="O10" s="14">
        <v>0</v>
      </c>
    </row>
    <row r="11" spans="1:15" x14ac:dyDescent="0.25">
      <c r="A11" t="s">
        <v>11</v>
      </c>
      <c r="B11" t="s">
        <v>12</v>
      </c>
      <c r="C11" t="s">
        <v>52</v>
      </c>
      <c r="D11" t="s">
        <v>53</v>
      </c>
      <c r="E11">
        <v>3276</v>
      </c>
      <c r="F11" t="s">
        <v>64</v>
      </c>
      <c r="G11" t="s">
        <v>56</v>
      </c>
      <c r="H11" t="s">
        <v>57</v>
      </c>
      <c r="I11" t="s">
        <v>18</v>
      </c>
      <c r="J11" s="9" t="s">
        <v>43</v>
      </c>
      <c r="K11" s="13">
        <v>0</v>
      </c>
      <c r="L11" s="17">
        <v>0</v>
      </c>
      <c r="M11" s="20">
        <v>0</v>
      </c>
      <c r="N11" s="18">
        <v>0</v>
      </c>
      <c r="O11" s="14">
        <v>0</v>
      </c>
    </row>
    <row r="12" spans="1:15" x14ac:dyDescent="0.25">
      <c r="A12" t="s">
        <v>11</v>
      </c>
      <c r="B12" t="s">
        <v>12</v>
      </c>
      <c r="C12" t="s">
        <v>52</v>
      </c>
      <c r="D12" t="s">
        <v>53</v>
      </c>
      <c r="E12">
        <v>3752</v>
      </c>
      <c r="F12" t="s">
        <v>65</v>
      </c>
      <c r="G12" t="s">
        <v>66</v>
      </c>
      <c r="H12" t="s">
        <v>67</v>
      </c>
      <c r="I12" t="s">
        <v>18</v>
      </c>
      <c r="J12" s="9" t="s">
        <v>68</v>
      </c>
      <c r="K12" s="13">
        <v>0</v>
      </c>
      <c r="L12" s="17">
        <v>0</v>
      </c>
      <c r="M12" s="20">
        <v>0</v>
      </c>
      <c r="N12" s="18">
        <v>0</v>
      </c>
      <c r="O12" s="14">
        <v>0</v>
      </c>
    </row>
    <row r="13" spans="1:15" x14ac:dyDescent="0.25">
      <c r="A13" t="s">
        <v>11</v>
      </c>
      <c r="B13" t="s">
        <v>12</v>
      </c>
      <c r="C13" t="s">
        <v>52</v>
      </c>
      <c r="D13" t="s">
        <v>53</v>
      </c>
      <c r="E13">
        <v>4219</v>
      </c>
      <c r="F13" t="s">
        <v>69</v>
      </c>
      <c r="G13" t="s">
        <v>66</v>
      </c>
      <c r="H13" t="s">
        <v>67</v>
      </c>
      <c r="I13" t="s">
        <v>18</v>
      </c>
      <c r="J13" s="9" t="s">
        <v>70</v>
      </c>
      <c r="K13" s="13">
        <v>0</v>
      </c>
      <c r="L13" s="17">
        <v>0</v>
      </c>
      <c r="M13" s="20">
        <v>0</v>
      </c>
      <c r="N13" s="18">
        <v>0</v>
      </c>
      <c r="O13" s="14">
        <v>0</v>
      </c>
    </row>
    <row r="14" spans="1:15" x14ac:dyDescent="0.25">
      <c r="A14" t="s">
        <v>11</v>
      </c>
      <c r="B14" t="s">
        <v>1</v>
      </c>
      <c r="C14" t="s">
        <v>52</v>
      </c>
      <c r="D14" t="s">
        <v>53</v>
      </c>
      <c r="E14">
        <v>5274</v>
      </c>
      <c r="F14" t="s">
        <v>74</v>
      </c>
      <c r="G14" t="s">
        <v>72</v>
      </c>
      <c r="H14" t="s">
        <v>51</v>
      </c>
      <c r="I14" t="s">
        <v>18</v>
      </c>
      <c r="J14" s="9" t="s">
        <v>73</v>
      </c>
      <c r="K14" s="13">
        <v>0</v>
      </c>
      <c r="L14" s="17">
        <v>0</v>
      </c>
      <c r="M14" s="20">
        <v>0</v>
      </c>
      <c r="N14" s="18">
        <v>0</v>
      </c>
      <c r="O14" s="14">
        <v>0</v>
      </c>
    </row>
    <row r="15" spans="1:15" x14ac:dyDescent="0.25">
      <c r="A15" t="s">
        <v>11</v>
      </c>
      <c r="B15" t="s">
        <v>12</v>
      </c>
      <c r="C15" t="s">
        <v>52</v>
      </c>
      <c r="D15" t="s">
        <v>53</v>
      </c>
      <c r="E15" t="s">
        <v>50</v>
      </c>
      <c r="F15" t="s">
        <v>76</v>
      </c>
      <c r="G15" t="s">
        <v>51</v>
      </c>
      <c r="H15" t="s">
        <v>77</v>
      </c>
      <c r="I15" t="s">
        <v>18</v>
      </c>
      <c r="J15" s="9" t="s">
        <v>48</v>
      </c>
      <c r="K15" s="13">
        <v>0</v>
      </c>
      <c r="L15" s="17">
        <v>0</v>
      </c>
      <c r="M15" s="20">
        <v>0</v>
      </c>
      <c r="N15" s="18">
        <v>0</v>
      </c>
      <c r="O15" s="14">
        <v>0</v>
      </c>
    </row>
    <row r="16" spans="1:15" x14ac:dyDescent="0.25">
      <c r="A16" t="s">
        <v>11</v>
      </c>
      <c r="B16" t="s">
        <v>12</v>
      </c>
      <c r="C16" t="s">
        <v>78</v>
      </c>
      <c r="D16" t="s">
        <v>14</v>
      </c>
      <c r="E16">
        <v>1500</v>
      </c>
      <c r="F16" t="s">
        <v>79</v>
      </c>
      <c r="G16" t="s">
        <v>80</v>
      </c>
      <c r="H16" t="s">
        <v>42</v>
      </c>
      <c r="I16" t="s">
        <v>18</v>
      </c>
      <c r="J16" s="9" t="s">
        <v>81</v>
      </c>
      <c r="K16" s="13">
        <v>0</v>
      </c>
      <c r="L16" s="17">
        <v>0</v>
      </c>
      <c r="M16" s="20">
        <v>0</v>
      </c>
      <c r="N16" s="18">
        <v>0</v>
      </c>
      <c r="O16" s="14">
        <v>0</v>
      </c>
    </row>
    <row r="17" spans="1:15" x14ac:dyDescent="0.25">
      <c r="A17" t="s">
        <v>11</v>
      </c>
      <c r="B17" t="s">
        <v>12</v>
      </c>
      <c r="C17" t="s">
        <v>78</v>
      </c>
      <c r="D17" t="s">
        <v>14</v>
      </c>
      <c r="E17">
        <v>2891</v>
      </c>
      <c r="F17" t="s">
        <v>87</v>
      </c>
      <c r="G17" t="s">
        <v>41</v>
      </c>
      <c r="H17" t="s">
        <v>42</v>
      </c>
      <c r="I17" t="s">
        <v>18</v>
      </c>
      <c r="J17" s="9" t="s">
        <v>88</v>
      </c>
      <c r="K17" s="13">
        <v>0</v>
      </c>
      <c r="L17" s="17">
        <v>0</v>
      </c>
      <c r="M17" s="20">
        <v>0</v>
      </c>
      <c r="N17" s="18">
        <v>0</v>
      </c>
      <c r="O17" s="14">
        <v>0</v>
      </c>
    </row>
    <row r="18" spans="1:15" x14ac:dyDescent="0.25">
      <c r="A18" t="s">
        <v>11</v>
      </c>
      <c r="B18" t="s">
        <v>12</v>
      </c>
      <c r="C18" t="s">
        <v>78</v>
      </c>
      <c r="D18" t="s">
        <v>14</v>
      </c>
      <c r="E18">
        <v>3194</v>
      </c>
      <c r="F18" t="s">
        <v>89</v>
      </c>
      <c r="G18" t="s">
        <v>90</v>
      </c>
      <c r="H18" t="s">
        <v>91</v>
      </c>
      <c r="I18" t="s">
        <v>18</v>
      </c>
      <c r="J18" s="9" t="s">
        <v>92</v>
      </c>
      <c r="K18" s="13">
        <v>0</v>
      </c>
      <c r="L18" s="17">
        <v>0</v>
      </c>
      <c r="M18" s="20">
        <v>0</v>
      </c>
      <c r="N18" s="18">
        <v>0</v>
      </c>
      <c r="O18" s="14">
        <v>0</v>
      </c>
    </row>
    <row r="19" spans="1:15" x14ac:dyDescent="0.25">
      <c r="A19" t="s">
        <v>11</v>
      </c>
      <c r="B19" t="s">
        <v>12</v>
      </c>
      <c r="C19" t="s">
        <v>78</v>
      </c>
      <c r="D19" t="s">
        <v>14</v>
      </c>
      <c r="E19">
        <v>3318</v>
      </c>
      <c r="F19" t="s">
        <v>94</v>
      </c>
      <c r="G19" t="s">
        <v>95</v>
      </c>
      <c r="H19" t="s">
        <v>26</v>
      </c>
      <c r="I19" t="s">
        <v>18</v>
      </c>
      <c r="J19" s="9" t="s">
        <v>84</v>
      </c>
      <c r="K19" s="13">
        <v>0</v>
      </c>
      <c r="L19" s="17">
        <v>0</v>
      </c>
      <c r="M19" s="20">
        <v>0</v>
      </c>
      <c r="N19" s="18">
        <v>0</v>
      </c>
      <c r="O19" s="14">
        <v>0</v>
      </c>
    </row>
    <row r="20" spans="1:15" x14ac:dyDescent="0.25">
      <c r="A20" t="s">
        <v>11</v>
      </c>
      <c r="B20" t="s">
        <v>12</v>
      </c>
      <c r="C20" t="s">
        <v>78</v>
      </c>
      <c r="D20" t="s">
        <v>14</v>
      </c>
      <c r="E20">
        <v>3355</v>
      </c>
      <c r="F20" t="s">
        <v>96</v>
      </c>
      <c r="G20" t="s">
        <v>97</v>
      </c>
      <c r="H20" t="s">
        <v>98</v>
      </c>
      <c r="I20" t="s">
        <v>18</v>
      </c>
      <c r="J20" s="9" t="s">
        <v>99</v>
      </c>
      <c r="K20" s="13">
        <v>0</v>
      </c>
      <c r="L20" s="17">
        <v>0</v>
      </c>
      <c r="M20" s="20">
        <v>0</v>
      </c>
      <c r="N20" s="18">
        <v>0</v>
      </c>
      <c r="O20" s="14">
        <v>0</v>
      </c>
    </row>
    <row r="21" spans="1:15" x14ac:dyDescent="0.25">
      <c r="A21" t="s">
        <v>11</v>
      </c>
      <c r="B21" t="s">
        <v>1</v>
      </c>
      <c r="C21" t="s">
        <v>78</v>
      </c>
      <c r="D21" t="s">
        <v>14</v>
      </c>
      <c r="E21">
        <v>3537</v>
      </c>
      <c r="F21" t="s">
        <v>100</v>
      </c>
      <c r="G21" t="s">
        <v>101</v>
      </c>
      <c r="H21" t="s">
        <v>26</v>
      </c>
      <c r="I21" t="s">
        <v>18</v>
      </c>
      <c r="J21" s="9" t="s">
        <v>27</v>
      </c>
      <c r="K21" s="13">
        <v>0</v>
      </c>
      <c r="L21" s="17">
        <v>0</v>
      </c>
      <c r="M21" s="20">
        <v>0</v>
      </c>
      <c r="N21" s="18">
        <v>0</v>
      </c>
      <c r="O21" s="14">
        <v>0</v>
      </c>
    </row>
    <row r="22" spans="1:15" x14ac:dyDescent="0.25">
      <c r="A22" t="s">
        <v>11</v>
      </c>
      <c r="B22" t="s">
        <v>12</v>
      </c>
      <c r="C22" t="s">
        <v>78</v>
      </c>
      <c r="D22" t="s">
        <v>14</v>
      </c>
      <c r="E22">
        <v>3662</v>
      </c>
      <c r="F22" t="s">
        <v>103</v>
      </c>
      <c r="G22" t="s">
        <v>104</v>
      </c>
      <c r="H22" t="s">
        <v>105</v>
      </c>
      <c r="I22" t="s">
        <v>18</v>
      </c>
      <c r="J22" s="9" t="s">
        <v>106</v>
      </c>
      <c r="K22" s="13">
        <v>0</v>
      </c>
      <c r="L22" s="17">
        <v>0</v>
      </c>
      <c r="M22" s="20">
        <v>0</v>
      </c>
      <c r="N22" s="18">
        <v>0</v>
      </c>
      <c r="O22" s="14">
        <v>0</v>
      </c>
    </row>
    <row r="23" spans="1:15" x14ac:dyDescent="0.25">
      <c r="A23" t="s">
        <v>11</v>
      </c>
      <c r="B23" t="s">
        <v>12</v>
      </c>
      <c r="C23" t="s">
        <v>78</v>
      </c>
      <c r="D23" t="s">
        <v>14</v>
      </c>
      <c r="E23">
        <v>3666</v>
      </c>
      <c r="F23" t="s">
        <v>107</v>
      </c>
      <c r="G23" t="s">
        <v>108</v>
      </c>
      <c r="H23" t="s">
        <v>109</v>
      </c>
      <c r="I23" t="s">
        <v>18</v>
      </c>
      <c r="J23" s="9" t="s">
        <v>110</v>
      </c>
      <c r="K23" s="13">
        <v>0</v>
      </c>
      <c r="L23" s="17">
        <v>0</v>
      </c>
      <c r="M23" s="20">
        <v>0</v>
      </c>
      <c r="N23" s="18">
        <v>0</v>
      </c>
      <c r="O23" s="14">
        <v>0</v>
      </c>
    </row>
    <row r="24" spans="1:15" x14ac:dyDescent="0.25">
      <c r="A24" t="s">
        <v>11</v>
      </c>
      <c r="B24" t="s">
        <v>12</v>
      </c>
      <c r="C24" t="s">
        <v>78</v>
      </c>
      <c r="D24" t="s">
        <v>14</v>
      </c>
      <c r="E24">
        <v>3667</v>
      </c>
      <c r="F24" t="s">
        <v>111</v>
      </c>
      <c r="G24" t="s">
        <v>108</v>
      </c>
      <c r="H24" t="s">
        <v>109</v>
      </c>
      <c r="I24" t="s">
        <v>18</v>
      </c>
      <c r="J24" s="9" t="s">
        <v>112</v>
      </c>
      <c r="K24" s="13">
        <v>0</v>
      </c>
      <c r="L24" s="17">
        <v>0</v>
      </c>
      <c r="M24" s="20">
        <v>0</v>
      </c>
      <c r="N24" s="18">
        <v>0</v>
      </c>
      <c r="O24" s="14">
        <v>0</v>
      </c>
    </row>
    <row r="25" spans="1:15" x14ac:dyDescent="0.25">
      <c r="A25" t="s">
        <v>11</v>
      </c>
      <c r="B25" t="s">
        <v>12</v>
      </c>
      <c r="C25" t="s">
        <v>78</v>
      </c>
      <c r="D25" t="s">
        <v>14</v>
      </c>
      <c r="E25">
        <v>3688</v>
      </c>
      <c r="F25" t="s">
        <v>113</v>
      </c>
      <c r="G25" t="s">
        <v>114</v>
      </c>
      <c r="H25" t="s">
        <v>47</v>
      </c>
      <c r="I25" t="s">
        <v>18</v>
      </c>
      <c r="J25" s="9" t="s">
        <v>115</v>
      </c>
      <c r="K25" s="13">
        <v>0</v>
      </c>
      <c r="L25" s="17">
        <v>0</v>
      </c>
      <c r="M25" s="20">
        <v>0</v>
      </c>
      <c r="N25" s="18">
        <v>0</v>
      </c>
      <c r="O25" s="14">
        <v>0</v>
      </c>
    </row>
    <row r="26" spans="1:15" x14ac:dyDescent="0.25">
      <c r="A26" t="s">
        <v>11</v>
      </c>
      <c r="B26" t="s">
        <v>12</v>
      </c>
      <c r="C26" t="s">
        <v>78</v>
      </c>
      <c r="D26" t="s">
        <v>14</v>
      </c>
      <c r="E26">
        <v>3755</v>
      </c>
      <c r="F26" t="s">
        <v>116</v>
      </c>
      <c r="G26" t="s">
        <v>117</v>
      </c>
      <c r="H26" t="s">
        <v>86</v>
      </c>
      <c r="I26" t="s">
        <v>18</v>
      </c>
      <c r="J26" s="9" t="s">
        <v>31</v>
      </c>
      <c r="K26" s="13">
        <v>0</v>
      </c>
      <c r="L26" s="17">
        <v>0</v>
      </c>
      <c r="M26" s="20">
        <v>0</v>
      </c>
      <c r="N26" s="18">
        <v>0</v>
      </c>
      <c r="O26" s="14">
        <v>0</v>
      </c>
    </row>
    <row r="27" spans="1:15" x14ac:dyDescent="0.25">
      <c r="A27" t="s">
        <v>11</v>
      </c>
      <c r="B27" t="s">
        <v>12</v>
      </c>
      <c r="C27" t="s">
        <v>78</v>
      </c>
      <c r="D27" t="s">
        <v>14</v>
      </c>
      <c r="E27">
        <v>3819</v>
      </c>
      <c r="F27" t="s">
        <v>118</v>
      </c>
      <c r="G27" t="s">
        <v>119</v>
      </c>
      <c r="H27" t="s">
        <v>120</v>
      </c>
      <c r="I27" t="s">
        <v>18</v>
      </c>
      <c r="J27" s="9" t="s">
        <v>121</v>
      </c>
      <c r="K27" s="13">
        <v>0</v>
      </c>
      <c r="L27" s="17">
        <v>0</v>
      </c>
      <c r="M27" s="20">
        <v>0</v>
      </c>
      <c r="N27" s="18">
        <v>0</v>
      </c>
      <c r="O27" s="14">
        <v>0</v>
      </c>
    </row>
    <row r="28" spans="1:15" x14ac:dyDescent="0.25">
      <c r="A28" t="s">
        <v>11</v>
      </c>
      <c r="B28" t="s">
        <v>12</v>
      </c>
      <c r="C28" t="s">
        <v>78</v>
      </c>
      <c r="D28" t="s">
        <v>14</v>
      </c>
      <c r="E28">
        <v>3863</v>
      </c>
      <c r="F28" t="s">
        <v>122</v>
      </c>
      <c r="G28" t="s">
        <v>123</v>
      </c>
      <c r="H28" t="s">
        <v>120</v>
      </c>
      <c r="I28" t="s">
        <v>18</v>
      </c>
      <c r="J28" s="9" t="s">
        <v>124</v>
      </c>
      <c r="K28" s="13">
        <v>0</v>
      </c>
      <c r="L28" s="17">
        <v>0</v>
      </c>
      <c r="M28" s="20">
        <v>0</v>
      </c>
      <c r="N28" s="18">
        <v>0</v>
      </c>
      <c r="O28" s="14">
        <v>0</v>
      </c>
    </row>
    <row r="29" spans="1:15" x14ac:dyDescent="0.25">
      <c r="A29" t="s">
        <v>11</v>
      </c>
      <c r="B29" t="s">
        <v>12</v>
      </c>
      <c r="C29" t="s">
        <v>78</v>
      </c>
      <c r="D29" t="s">
        <v>14</v>
      </c>
      <c r="E29">
        <v>4418</v>
      </c>
      <c r="F29" t="s">
        <v>125</v>
      </c>
      <c r="G29" t="s">
        <v>101</v>
      </c>
      <c r="H29" t="s">
        <v>51</v>
      </c>
      <c r="I29" t="s">
        <v>18</v>
      </c>
      <c r="J29" s="21" t="s">
        <v>126</v>
      </c>
      <c r="K29" s="13">
        <v>0</v>
      </c>
      <c r="L29" s="17">
        <v>0</v>
      </c>
      <c r="M29" s="20">
        <v>0</v>
      </c>
      <c r="N29" s="18">
        <v>0</v>
      </c>
      <c r="O29" s="14">
        <v>0</v>
      </c>
    </row>
    <row r="30" spans="1:15" x14ac:dyDescent="0.25">
      <c r="A30" t="s">
        <v>11</v>
      </c>
      <c r="B30" t="s">
        <v>12</v>
      </c>
      <c r="C30" t="s">
        <v>78</v>
      </c>
      <c r="D30" t="s">
        <v>14</v>
      </c>
      <c r="E30">
        <v>4464</v>
      </c>
      <c r="F30" t="s">
        <v>128</v>
      </c>
      <c r="G30" t="s">
        <v>108</v>
      </c>
      <c r="H30" t="s">
        <v>51</v>
      </c>
      <c r="I30" t="s">
        <v>18</v>
      </c>
      <c r="J30" s="9" t="s">
        <v>129</v>
      </c>
      <c r="K30" s="13">
        <v>0</v>
      </c>
      <c r="L30" s="17">
        <v>0</v>
      </c>
      <c r="M30" s="20">
        <v>0</v>
      </c>
      <c r="N30" s="18">
        <v>0</v>
      </c>
      <c r="O30" s="14">
        <v>0</v>
      </c>
    </row>
    <row r="31" spans="1:15" x14ac:dyDescent="0.25">
      <c r="A31" t="s">
        <v>11</v>
      </c>
      <c r="B31" t="s">
        <v>12</v>
      </c>
      <c r="C31" t="s">
        <v>78</v>
      </c>
      <c r="D31" t="s">
        <v>14</v>
      </c>
      <c r="E31">
        <v>4970</v>
      </c>
      <c r="F31" t="s">
        <v>134</v>
      </c>
      <c r="G31" t="s">
        <v>135</v>
      </c>
      <c r="H31" t="s">
        <v>86</v>
      </c>
      <c r="I31" t="s">
        <v>18</v>
      </c>
      <c r="J31" s="9" t="s">
        <v>136</v>
      </c>
      <c r="K31" s="13">
        <v>0</v>
      </c>
      <c r="L31" s="17">
        <v>0</v>
      </c>
      <c r="M31" s="20">
        <v>0</v>
      </c>
      <c r="N31" s="18">
        <v>0</v>
      </c>
      <c r="O31" s="14">
        <v>0</v>
      </c>
    </row>
    <row r="32" spans="1:15" x14ac:dyDescent="0.25">
      <c r="A32" t="s">
        <v>11</v>
      </c>
      <c r="B32" t="s">
        <v>12</v>
      </c>
      <c r="C32" t="s">
        <v>78</v>
      </c>
      <c r="D32" t="s">
        <v>14</v>
      </c>
      <c r="E32">
        <v>5750</v>
      </c>
      <c r="F32" t="s">
        <v>139</v>
      </c>
      <c r="G32" t="s">
        <v>140</v>
      </c>
      <c r="H32" t="s">
        <v>51</v>
      </c>
      <c r="I32" t="s">
        <v>18</v>
      </c>
      <c r="J32" s="9" t="s">
        <v>141</v>
      </c>
      <c r="K32" s="13">
        <v>0</v>
      </c>
      <c r="L32" s="17">
        <v>0</v>
      </c>
      <c r="M32" s="20">
        <v>0</v>
      </c>
      <c r="N32" s="18">
        <v>0</v>
      </c>
      <c r="O32" s="14">
        <v>0</v>
      </c>
    </row>
    <row r="33" spans="1:15" x14ac:dyDescent="0.25">
      <c r="A33" t="s">
        <v>11</v>
      </c>
      <c r="B33" t="s">
        <v>12</v>
      </c>
      <c r="C33" t="s">
        <v>78</v>
      </c>
      <c r="D33" t="s">
        <v>14</v>
      </c>
      <c r="E33" t="s">
        <v>143</v>
      </c>
      <c r="F33" t="s">
        <v>144</v>
      </c>
      <c r="G33" t="s">
        <v>95</v>
      </c>
      <c r="H33" t="s">
        <v>26</v>
      </c>
      <c r="I33" t="s">
        <v>18</v>
      </c>
      <c r="J33" s="9" t="s">
        <v>99</v>
      </c>
      <c r="K33" s="13">
        <v>0</v>
      </c>
      <c r="L33" s="17">
        <v>0</v>
      </c>
      <c r="M33" s="20">
        <v>0</v>
      </c>
      <c r="N33" s="18">
        <v>0</v>
      </c>
      <c r="O33" s="14">
        <v>0</v>
      </c>
    </row>
    <row r="34" spans="1:15" x14ac:dyDescent="0.25">
      <c r="A34" t="s">
        <v>11</v>
      </c>
      <c r="B34" t="s">
        <v>12</v>
      </c>
      <c r="C34" t="s">
        <v>78</v>
      </c>
      <c r="D34" t="s">
        <v>14</v>
      </c>
      <c r="E34" t="s">
        <v>50</v>
      </c>
      <c r="F34" t="s">
        <v>146</v>
      </c>
      <c r="G34" t="s">
        <v>51</v>
      </c>
      <c r="H34" t="s">
        <v>77</v>
      </c>
      <c r="I34" t="s">
        <v>12</v>
      </c>
      <c r="J34" s="9" t="s">
        <v>48</v>
      </c>
      <c r="K34" s="13">
        <v>0</v>
      </c>
      <c r="L34" s="17">
        <v>0</v>
      </c>
      <c r="M34" s="20">
        <v>0</v>
      </c>
      <c r="N34" s="18">
        <v>0</v>
      </c>
      <c r="O34" s="14">
        <v>0</v>
      </c>
    </row>
    <row r="35" spans="1:15" x14ac:dyDescent="0.25">
      <c r="A35" t="s">
        <v>11</v>
      </c>
      <c r="B35" t="s">
        <v>12</v>
      </c>
      <c r="C35" t="s">
        <v>149</v>
      </c>
      <c r="D35" t="s">
        <v>14</v>
      </c>
      <c r="E35">
        <v>2461</v>
      </c>
      <c r="F35" t="s">
        <v>55</v>
      </c>
      <c r="G35" t="s">
        <v>56</v>
      </c>
      <c r="H35" t="s">
        <v>57</v>
      </c>
      <c r="I35" t="s">
        <v>18</v>
      </c>
      <c r="J35" s="9" t="s">
        <v>58</v>
      </c>
      <c r="K35" s="13">
        <v>0</v>
      </c>
      <c r="L35" s="17">
        <v>0</v>
      </c>
      <c r="M35" s="20">
        <v>0</v>
      </c>
      <c r="N35" s="18">
        <v>0</v>
      </c>
      <c r="O35" s="14">
        <v>0</v>
      </c>
    </row>
    <row r="36" spans="1:15" x14ac:dyDescent="0.25">
      <c r="A36" t="s">
        <v>11</v>
      </c>
      <c r="B36" t="s">
        <v>12</v>
      </c>
      <c r="C36" t="s">
        <v>149</v>
      </c>
      <c r="D36" t="s">
        <v>14</v>
      </c>
      <c r="E36">
        <v>3054</v>
      </c>
      <c r="F36" t="s">
        <v>61</v>
      </c>
      <c r="G36" t="s">
        <v>62</v>
      </c>
      <c r="H36" t="s">
        <v>54</v>
      </c>
      <c r="I36" t="s">
        <v>18</v>
      </c>
      <c r="J36" s="9" t="s">
        <v>63</v>
      </c>
      <c r="K36" s="13">
        <v>0</v>
      </c>
      <c r="L36" s="17">
        <v>0</v>
      </c>
      <c r="M36" s="20">
        <v>0</v>
      </c>
      <c r="N36" s="18">
        <v>0</v>
      </c>
      <c r="O36" s="14">
        <v>0</v>
      </c>
    </row>
    <row r="37" spans="1:15" x14ac:dyDescent="0.25">
      <c r="A37" t="s">
        <v>11</v>
      </c>
      <c r="B37" t="s">
        <v>12</v>
      </c>
      <c r="C37" t="s">
        <v>149</v>
      </c>
      <c r="D37" t="s">
        <v>14</v>
      </c>
      <c r="E37">
        <v>4219</v>
      </c>
      <c r="F37" t="s">
        <v>69</v>
      </c>
      <c r="G37" t="s">
        <v>66</v>
      </c>
      <c r="H37" t="s">
        <v>67</v>
      </c>
      <c r="I37" t="s">
        <v>18</v>
      </c>
      <c r="J37" s="9" t="s">
        <v>70</v>
      </c>
      <c r="K37" s="13">
        <v>0</v>
      </c>
      <c r="L37" s="17">
        <v>0</v>
      </c>
      <c r="M37" s="20">
        <v>0</v>
      </c>
      <c r="N37" s="18">
        <v>0</v>
      </c>
      <c r="O37" s="14">
        <v>0</v>
      </c>
    </row>
    <row r="38" spans="1:15" x14ac:dyDescent="0.25">
      <c r="A38" t="s">
        <v>11</v>
      </c>
      <c r="B38" t="s">
        <v>12</v>
      </c>
      <c r="C38" t="s">
        <v>149</v>
      </c>
      <c r="D38" t="s">
        <v>14</v>
      </c>
      <c r="E38">
        <v>5274</v>
      </c>
      <c r="F38" t="s">
        <v>150</v>
      </c>
      <c r="G38" t="s">
        <v>72</v>
      </c>
      <c r="H38" t="s">
        <v>51</v>
      </c>
      <c r="I38" t="s">
        <v>18</v>
      </c>
      <c r="J38" s="9" t="s">
        <v>73</v>
      </c>
      <c r="K38" s="13">
        <v>0</v>
      </c>
      <c r="L38" s="17">
        <v>0</v>
      </c>
      <c r="M38" s="20">
        <v>0</v>
      </c>
      <c r="N38" s="18">
        <v>0</v>
      </c>
      <c r="O38" s="14">
        <v>0</v>
      </c>
    </row>
    <row r="39" spans="1:15" x14ac:dyDescent="0.25">
      <c r="A39" t="s">
        <v>11</v>
      </c>
      <c r="B39" t="s">
        <v>12</v>
      </c>
      <c r="C39" t="s">
        <v>149</v>
      </c>
      <c r="D39" t="s">
        <v>14</v>
      </c>
      <c r="E39" t="s">
        <v>50</v>
      </c>
      <c r="F39" t="s">
        <v>146</v>
      </c>
      <c r="G39" t="s">
        <v>51</v>
      </c>
      <c r="H39" t="s">
        <v>77</v>
      </c>
      <c r="I39" t="s">
        <v>18</v>
      </c>
      <c r="J39" s="9" t="s">
        <v>48</v>
      </c>
      <c r="K39" s="13">
        <v>0</v>
      </c>
      <c r="L39" s="17">
        <v>0</v>
      </c>
      <c r="M39" s="20">
        <v>0</v>
      </c>
      <c r="N39" s="18">
        <v>0</v>
      </c>
      <c r="O39" s="14">
        <v>0</v>
      </c>
    </row>
    <row r="40" spans="1:15" x14ac:dyDescent="0.25">
      <c r="A40" t="s">
        <v>11</v>
      </c>
      <c r="B40" t="s">
        <v>12</v>
      </c>
      <c r="C40" t="s">
        <v>157</v>
      </c>
      <c r="D40" t="s">
        <v>14</v>
      </c>
      <c r="E40">
        <v>4067</v>
      </c>
      <c r="F40" t="s">
        <v>158</v>
      </c>
      <c r="G40" t="s">
        <v>95</v>
      </c>
      <c r="H40" t="s">
        <v>159</v>
      </c>
      <c r="I40" t="s">
        <v>18</v>
      </c>
      <c r="J40" s="9" t="s">
        <v>160</v>
      </c>
      <c r="K40" s="13">
        <v>0</v>
      </c>
      <c r="L40" s="17">
        <v>0</v>
      </c>
      <c r="M40" s="20">
        <v>0</v>
      </c>
      <c r="N40" s="18">
        <v>0</v>
      </c>
      <c r="O40" s="14">
        <v>0</v>
      </c>
    </row>
    <row r="41" spans="1:15" x14ac:dyDescent="0.25">
      <c r="A41" t="s">
        <v>11</v>
      </c>
      <c r="B41" t="s">
        <v>12</v>
      </c>
      <c r="C41" t="s">
        <v>157</v>
      </c>
      <c r="D41" t="s">
        <v>14</v>
      </c>
      <c r="E41" t="s">
        <v>50</v>
      </c>
      <c r="F41" t="s">
        <v>152</v>
      </c>
      <c r="G41" t="s">
        <v>51</v>
      </c>
      <c r="H41" t="s">
        <v>51</v>
      </c>
      <c r="I41" t="s">
        <v>12</v>
      </c>
      <c r="J41" s="9" t="s">
        <v>48</v>
      </c>
      <c r="K41" s="13">
        <v>0</v>
      </c>
      <c r="L41" s="17">
        <v>0</v>
      </c>
      <c r="M41" s="20">
        <v>0</v>
      </c>
      <c r="N41" s="18">
        <v>0</v>
      </c>
      <c r="O41" s="14">
        <v>0</v>
      </c>
    </row>
    <row r="42" spans="1:15" x14ac:dyDescent="0.25">
      <c r="A42" t="s">
        <v>11</v>
      </c>
      <c r="B42" t="s">
        <v>12</v>
      </c>
      <c r="C42" t="s">
        <v>162</v>
      </c>
      <c r="D42" t="s">
        <v>53</v>
      </c>
      <c r="E42">
        <v>3718</v>
      </c>
      <c r="F42" t="s">
        <v>164</v>
      </c>
      <c r="G42" t="s">
        <v>108</v>
      </c>
      <c r="H42" t="s">
        <v>29</v>
      </c>
      <c r="I42" t="s">
        <v>18</v>
      </c>
      <c r="J42" s="9" t="s">
        <v>165</v>
      </c>
      <c r="K42" s="13">
        <v>0</v>
      </c>
      <c r="L42" s="17">
        <v>0</v>
      </c>
      <c r="M42" s="20">
        <v>0</v>
      </c>
      <c r="N42" s="18">
        <v>0</v>
      </c>
      <c r="O42" s="14">
        <v>0</v>
      </c>
    </row>
    <row r="43" spans="1:15" x14ac:dyDescent="0.25">
      <c r="A43" t="s">
        <v>11</v>
      </c>
      <c r="B43" t="s">
        <v>12</v>
      </c>
      <c r="C43" t="s">
        <v>162</v>
      </c>
      <c r="D43" t="s">
        <v>53</v>
      </c>
      <c r="E43">
        <v>4215</v>
      </c>
      <c r="F43" t="s">
        <v>167</v>
      </c>
      <c r="G43" t="s">
        <v>168</v>
      </c>
      <c r="H43" t="s">
        <v>120</v>
      </c>
      <c r="I43" t="s">
        <v>18</v>
      </c>
      <c r="J43" s="9" t="s">
        <v>141</v>
      </c>
      <c r="K43" s="13">
        <v>0</v>
      </c>
      <c r="L43" s="17">
        <v>0</v>
      </c>
      <c r="M43" s="20">
        <v>0</v>
      </c>
      <c r="N43" s="18">
        <v>0</v>
      </c>
      <c r="O43" s="14">
        <v>0</v>
      </c>
    </row>
    <row r="44" spans="1:15" x14ac:dyDescent="0.25">
      <c r="A44" t="s">
        <v>11</v>
      </c>
      <c r="B44" t="s">
        <v>12</v>
      </c>
      <c r="C44" t="s">
        <v>162</v>
      </c>
      <c r="D44" t="s">
        <v>53</v>
      </c>
      <c r="E44">
        <v>19093</v>
      </c>
      <c r="F44" t="s">
        <v>171</v>
      </c>
      <c r="G44" t="s">
        <v>172</v>
      </c>
      <c r="H44" t="s">
        <v>173</v>
      </c>
      <c r="I44" t="s">
        <v>18</v>
      </c>
      <c r="J44" s="9" t="s">
        <v>60</v>
      </c>
      <c r="K44" s="13">
        <v>0</v>
      </c>
      <c r="L44" s="17">
        <v>0</v>
      </c>
      <c r="M44" s="20">
        <v>0</v>
      </c>
      <c r="N44" s="18">
        <v>0</v>
      </c>
      <c r="O44" s="14">
        <v>0</v>
      </c>
    </row>
    <row r="45" spans="1:15" x14ac:dyDescent="0.25">
      <c r="A45" t="s">
        <v>11</v>
      </c>
      <c r="B45" t="s">
        <v>1</v>
      </c>
      <c r="C45" t="s">
        <v>162</v>
      </c>
      <c r="D45" t="s">
        <v>53</v>
      </c>
      <c r="E45">
        <v>19679</v>
      </c>
      <c r="F45" t="s">
        <v>174</v>
      </c>
      <c r="G45" t="s">
        <v>175</v>
      </c>
      <c r="H45" t="s">
        <v>176</v>
      </c>
      <c r="I45" t="s">
        <v>18</v>
      </c>
      <c r="J45" s="9" t="s">
        <v>177</v>
      </c>
      <c r="K45" s="13">
        <v>0</v>
      </c>
      <c r="L45" s="17">
        <v>0</v>
      </c>
      <c r="M45" s="20">
        <v>0</v>
      </c>
      <c r="N45" s="18">
        <v>0</v>
      </c>
      <c r="O45" s="14">
        <v>0</v>
      </c>
    </row>
    <row r="46" spans="1:15" x14ac:dyDescent="0.25">
      <c r="A46" t="s">
        <v>11</v>
      </c>
      <c r="B46" t="s">
        <v>1</v>
      </c>
      <c r="C46" t="s">
        <v>162</v>
      </c>
      <c r="D46" t="s">
        <v>53</v>
      </c>
      <c r="E46">
        <v>19680</v>
      </c>
      <c r="F46" t="s">
        <v>178</v>
      </c>
      <c r="G46" t="s">
        <v>175</v>
      </c>
      <c r="H46" t="s">
        <v>176</v>
      </c>
      <c r="I46" t="s">
        <v>18</v>
      </c>
      <c r="J46" s="9" t="s">
        <v>177</v>
      </c>
      <c r="K46" s="13">
        <v>0</v>
      </c>
      <c r="L46" s="17">
        <v>0</v>
      </c>
      <c r="M46" s="20">
        <v>0</v>
      </c>
      <c r="N46" s="18">
        <v>0</v>
      </c>
      <c r="O46" s="14">
        <v>0</v>
      </c>
    </row>
    <row r="47" spans="1:15" x14ac:dyDescent="0.25">
      <c r="A47" t="s">
        <v>11</v>
      </c>
      <c r="B47" t="s">
        <v>12</v>
      </c>
      <c r="C47" t="s">
        <v>162</v>
      </c>
      <c r="D47" t="s">
        <v>53</v>
      </c>
      <c r="E47">
        <v>19708</v>
      </c>
      <c r="F47" t="s">
        <v>179</v>
      </c>
      <c r="G47" t="s">
        <v>170</v>
      </c>
      <c r="H47" t="s">
        <v>180</v>
      </c>
      <c r="I47" t="s">
        <v>18</v>
      </c>
      <c r="J47" s="9" t="s">
        <v>169</v>
      </c>
      <c r="K47" s="13">
        <v>0</v>
      </c>
      <c r="L47" s="17">
        <v>0</v>
      </c>
      <c r="M47" s="20">
        <v>0</v>
      </c>
      <c r="N47" s="18">
        <v>0</v>
      </c>
      <c r="O47" s="14">
        <v>0</v>
      </c>
    </row>
    <row r="48" spans="1:15" x14ac:dyDescent="0.25">
      <c r="A48" t="s">
        <v>11</v>
      </c>
      <c r="B48" t="s">
        <v>12</v>
      </c>
      <c r="C48" t="s">
        <v>162</v>
      </c>
      <c r="D48" t="s">
        <v>53</v>
      </c>
      <c r="E48" t="s">
        <v>181</v>
      </c>
      <c r="F48" t="s">
        <v>182</v>
      </c>
      <c r="G48" t="s">
        <v>183</v>
      </c>
      <c r="H48" t="s">
        <v>166</v>
      </c>
      <c r="I48" t="s">
        <v>18</v>
      </c>
      <c r="J48" s="9" t="s">
        <v>169</v>
      </c>
      <c r="K48" s="13">
        <v>0</v>
      </c>
      <c r="L48" s="17">
        <v>0</v>
      </c>
      <c r="M48" s="20">
        <v>0</v>
      </c>
      <c r="N48" s="18">
        <v>0</v>
      </c>
      <c r="O48" s="14">
        <v>0</v>
      </c>
    </row>
    <row r="49" spans="1:15" x14ac:dyDescent="0.25">
      <c r="A49" t="s">
        <v>11</v>
      </c>
      <c r="B49" t="s">
        <v>12</v>
      </c>
      <c r="C49" t="s">
        <v>185</v>
      </c>
      <c r="D49" t="s">
        <v>53</v>
      </c>
      <c r="E49">
        <v>1890</v>
      </c>
      <c r="F49" t="s">
        <v>144</v>
      </c>
      <c r="G49" t="s">
        <v>95</v>
      </c>
      <c r="H49" t="s">
        <v>26</v>
      </c>
      <c r="I49" t="s">
        <v>18</v>
      </c>
      <c r="J49" s="9" t="s">
        <v>68</v>
      </c>
      <c r="K49" s="13">
        <v>0</v>
      </c>
      <c r="L49" s="17">
        <v>0</v>
      </c>
      <c r="M49" s="20">
        <v>0</v>
      </c>
      <c r="N49" s="18">
        <v>0</v>
      </c>
      <c r="O49" s="14">
        <v>0</v>
      </c>
    </row>
    <row r="50" spans="1:15" x14ac:dyDescent="0.25">
      <c r="A50" t="s">
        <v>11</v>
      </c>
      <c r="B50" t="s">
        <v>12</v>
      </c>
      <c r="C50" t="s">
        <v>185</v>
      </c>
      <c r="D50" t="s">
        <v>53</v>
      </c>
      <c r="E50">
        <v>3139</v>
      </c>
      <c r="F50" t="s">
        <v>186</v>
      </c>
      <c r="G50" t="s">
        <v>187</v>
      </c>
      <c r="H50" t="s">
        <v>105</v>
      </c>
      <c r="I50" t="s">
        <v>18</v>
      </c>
      <c r="J50" s="9" t="s">
        <v>188</v>
      </c>
      <c r="K50" s="13">
        <v>0</v>
      </c>
      <c r="L50" s="17">
        <v>0</v>
      </c>
      <c r="M50" s="20">
        <v>0</v>
      </c>
      <c r="N50" s="18">
        <v>0</v>
      </c>
      <c r="O50" s="14">
        <v>0</v>
      </c>
    </row>
    <row r="51" spans="1:15" x14ac:dyDescent="0.25">
      <c r="A51" t="s">
        <v>11</v>
      </c>
      <c r="B51" t="s">
        <v>12</v>
      </c>
      <c r="C51" t="s">
        <v>185</v>
      </c>
      <c r="D51" t="s">
        <v>53</v>
      </c>
      <c r="E51">
        <v>3144</v>
      </c>
      <c r="F51" t="s">
        <v>103</v>
      </c>
      <c r="G51" t="s">
        <v>104</v>
      </c>
      <c r="H51" t="s">
        <v>105</v>
      </c>
      <c r="I51" t="s">
        <v>18</v>
      </c>
      <c r="J51" s="9" t="s">
        <v>148</v>
      </c>
      <c r="K51" s="13">
        <v>0</v>
      </c>
      <c r="L51" s="17">
        <v>0</v>
      </c>
      <c r="M51" s="20">
        <v>0</v>
      </c>
      <c r="N51" s="18">
        <v>0</v>
      </c>
      <c r="O51" s="14">
        <v>0</v>
      </c>
    </row>
    <row r="52" spans="1:15" x14ac:dyDescent="0.25">
      <c r="A52" t="s">
        <v>11</v>
      </c>
      <c r="B52" t="s">
        <v>12</v>
      </c>
      <c r="C52" t="s">
        <v>185</v>
      </c>
      <c r="D52" t="s">
        <v>53</v>
      </c>
      <c r="E52">
        <v>3185</v>
      </c>
      <c r="F52" t="s">
        <v>189</v>
      </c>
      <c r="G52" t="s">
        <v>28</v>
      </c>
      <c r="H52" t="s">
        <v>29</v>
      </c>
      <c r="I52" t="s">
        <v>18</v>
      </c>
      <c r="J52" s="9" t="s">
        <v>31</v>
      </c>
      <c r="K52" s="13">
        <v>0</v>
      </c>
      <c r="L52" s="17">
        <v>0</v>
      </c>
      <c r="M52" s="20">
        <v>0</v>
      </c>
      <c r="N52" s="18">
        <v>0</v>
      </c>
      <c r="O52" s="14">
        <v>0</v>
      </c>
    </row>
    <row r="53" spans="1:15" x14ac:dyDescent="0.25">
      <c r="A53" t="s">
        <v>11</v>
      </c>
      <c r="B53" t="s">
        <v>12</v>
      </c>
      <c r="C53" t="s">
        <v>185</v>
      </c>
      <c r="D53" t="s">
        <v>53</v>
      </c>
      <c r="E53">
        <v>3194</v>
      </c>
      <c r="F53" t="s">
        <v>190</v>
      </c>
      <c r="G53" t="s">
        <v>90</v>
      </c>
      <c r="H53" t="s">
        <v>91</v>
      </c>
      <c r="I53" t="s">
        <v>18</v>
      </c>
      <c r="J53" s="9" t="s">
        <v>92</v>
      </c>
      <c r="K53" s="13">
        <v>0</v>
      </c>
      <c r="L53" s="17">
        <v>0</v>
      </c>
      <c r="M53" s="20">
        <v>0</v>
      </c>
      <c r="N53" s="18">
        <v>0</v>
      </c>
      <c r="O53" s="14">
        <v>0</v>
      </c>
    </row>
    <row r="54" spans="1:15" x14ac:dyDescent="0.25">
      <c r="A54" t="s">
        <v>11</v>
      </c>
      <c r="B54" t="s">
        <v>12</v>
      </c>
      <c r="C54" t="s">
        <v>185</v>
      </c>
      <c r="D54" t="s">
        <v>53</v>
      </c>
      <c r="E54">
        <v>3317</v>
      </c>
      <c r="F54" t="s">
        <v>191</v>
      </c>
      <c r="G54" t="s">
        <v>33</v>
      </c>
      <c r="H54" t="s">
        <v>29</v>
      </c>
      <c r="I54" t="s">
        <v>18</v>
      </c>
      <c r="J54" s="9" t="s">
        <v>127</v>
      </c>
      <c r="K54" s="13">
        <v>0</v>
      </c>
      <c r="L54" s="17">
        <v>0</v>
      </c>
      <c r="M54" s="20">
        <v>0</v>
      </c>
      <c r="N54" s="18">
        <v>0</v>
      </c>
      <c r="O54" s="14">
        <v>0</v>
      </c>
    </row>
    <row r="55" spans="1:15" x14ac:dyDescent="0.25">
      <c r="A55" t="s">
        <v>11</v>
      </c>
      <c r="B55" t="s">
        <v>12</v>
      </c>
      <c r="C55" t="s">
        <v>185</v>
      </c>
      <c r="D55" t="s">
        <v>53</v>
      </c>
      <c r="E55">
        <v>3318</v>
      </c>
      <c r="F55" t="s">
        <v>94</v>
      </c>
      <c r="G55" t="s">
        <v>95</v>
      </c>
      <c r="H55" t="s">
        <v>26</v>
      </c>
      <c r="I55" t="s">
        <v>18</v>
      </c>
      <c r="J55" s="9" t="s">
        <v>84</v>
      </c>
      <c r="K55" s="13">
        <v>0</v>
      </c>
      <c r="L55" s="17">
        <v>0</v>
      </c>
      <c r="M55" s="20">
        <v>0</v>
      </c>
      <c r="N55" s="18">
        <v>0</v>
      </c>
      <c r="O55" s="14">
        <v>0</v>
      </c>
    </row>
    <row r="56" spans="1:15" x14ac:dyDescent="0.25">
      <c r="A56" t="s">
        <v>11</v>
      </c>
      <c r="B56" t="s">
        <v>1</v>
      </c>
      <c r="C56" t="s">
        <v>185</v>
      </c>
      <c r="D56" t="s">
        <v>53</v>
      </c>
      <c r="E56">
        <v>3537</v>
      </c>
      <c r="F56" t="s">
        <v>100</v>
      </c>
      <c r="G56" t="s">
        <v>101</v>
      </c>
      <c r="J56" s="9"/>
      <c r="K56" s="13">
        <v>0</v>
      </c>
      <c r="L56" s="17">
        <v>0</v>
      </c>
      <c r="M56" s="20">
        <v>0</v>
      </c>
      <c r="N56" s="18">
        <v>0</v>
      </c>
      <c r="O56" s="14">
        <v>0</v>
      </c>
    </row>
    <row r="57" spans="1:15" x14ac:dyDescent="0.25">
      <c r="A57" t="s">
        <v>11</v>
      </c>
      <c r="B57" t="s">
        <v>1</v>
      </c>
      <c r="C57" t="s">
        <v>78</v>
      </c>
      <c r="D57" t="s">
        <v>14</v>
      </c>
      <c r="E57">
        <v>3537</v>
      </c>
      <c r="F57" t="s">
        <v>100</v>
      </c>
      <c r="G57" t="s">
        <v>101</v>
      </c>
      <c r="H57" t="s">
        <v>102</v>
      </c>
      <c r="I57">
        <v>240913.3</v>
      </c>
      <c r="J57" s="9">
        <v>231183.7</v>
      </c>
      <c r="K57" s="13">
        <v>0</v>
      </c>
      <c r="L57" s="17">
        <v>0</v>
      </c>
      <c r="M57" s="20">
        <v>0</v>
      </c>
      <c r="N57" s="18">
        <v>0</v>
      </c>
      <c r="O57" s="14">
        <v>0</v>
      </c>
    </row>
    <row r="58" spans="1:15" x14ac:dyDescent="0.25">
      <c r="A58" t="s">
        <v>11</v>
      </c>
      <c r="B58" t="s">
        <v>1</v>
      </c>
      <c r="C58" t="s">
        <v>185</v>
      </c>
      <c r="D58" t="s">
        <v>53</v>
      </c>
      <c r="E58">
        <v>3537</v>
      </c>
      <c r="F58" t="s">
        <v>100</v>
      </c>
      <c r="G58" t="s">
        <v>101</v>
      </c>
      <c r="H58" t="s">
        <v>26</v>
      </c>
      <c r="I58" t="s">
        <v>18</v>
      </c>
      <c r="J58" s="9" t="s">
        <v>27</v>
      </c>
      <c r="K58" s="13">
        <v>0</v>
      </c>
      <c r="L58" s="17">
        <v>0</v>
      </c>
      <c r="M58" s="20">
        <v>0</v>
      </c>
      <c r="N58" s="18">
        <v>0</v>
      </c>
      <c r="O58" s="14">
        <v>0</v>
      </c>
    </row>
    <row r="59" spans="1:15" x14ac:dyDescent="0.25">
      <c r="A59" t="s">
        <v>11</v>
      </c>
      <c r="B59" t="s">
        <v>12</v>
      </c>
      <c r="C59" t="s">
        <v>185</v>
      </c>
      <c r="D59" t="s">
        <v>53</v>
      </c>
      <c r="E59">
        <v>3755</v>
      </c>
      <c r="F59" t="s">
        <v>192</v>
      </c>
      <c r="G59" t="s">
        <v>117</v>
      </c>
      <c r="H59" t="s">
        <v>86</v>
      </c>
      <c r="I59" t="s">
        <v>18</v>
      </c>
      <c r="J59" s="9" t="s">
        <v>31</v>
      </c>
      <c r="K59" s="13">
        <v>0</v>
      </c>
      <c r="L59" s="17">
        <v>0</v>
      </c>
      <c r="M59" s="20">
        <v>0</v>
      </c>
      <c r="N59" s="18">
        <v>0</v>
      </c>
      <c r="O59" s="14">
        <v>0</v>
      </c>
    </row>
    <row r="60" spans="1:15" x14ac:dyDescent="0.25">
      <c r="A60" t="s">
        <v>11</v>
      </c>
      <c r="B60" t="s">
        <v>12</v>
      </c>
      <c r="C60" t="s">
        <v>185</v>
      </c>
      <c r="D60" t="s">
        <v>53</v>
      </c>
      <c r="E60">
        <v>3758</v>
      </c>
      <c r="F60" t="s">
        <v>193</v>
      </c>
      <c r="G60" t="s">
        <v>97</v>
      </c>
      <c r="H60" t="s">
        <v>47</v>
      </c>
      <c r="I60" t="s">
        <v>18</v>
      </c>
      <c r="J60" s="9" t="s">
        <v>115</v>
      </c>
      <c r="K60" s="13">
        <v>0</v>
      </c>
      <c r="L60" s="17">
        <v>0</v>
      </c>
      <c r="M60" s="20">
        <v>0</v>
      </c>
      <c r="N60" s="18">
        <v>0</v>
      </c>
      <c r="O60" s="14">
        <v>0</v>
      </c>
    </row>
    <row r="61" spans="1:15" x14ac:dyDescent="0.25">
      <c r="A61" t="s">
        <v>11</v>
      </c>
      <c r="B61" t="s">
        <v>12</v>
      </c>
      <c r="C61" t="s">
        <v>185</v>
      </c>
      <c r="D61" t="s">
        <v>53</v>
      </c>
      <c r="E61">
        <v>3819</v>
      </c>
      <c r="F61" t="s">
        <v>194</v>
      </c>
      <c r="G61" t="s">
        <v>119</v>
      </c>
      <c r="H61" t="s">
        <v>120</v>
      </c>
      <c r="I61" t="s">
        <v>18</v>
      </c>
      <c r="J61" s="9" t="s">
        <v>195</v>
      </c>
      <c r="K61" s="13">
        <v>0</v>
      </c>
      <c r="L61" s="17">
        <v>0</v>
      </c>
      <c r="M61" s="20">
        <v>0</v>
      </c>
      <c r="N61" s="18">
        <v>0</v>
      </c>
      <c r="O61" s="14">
        <v>0</v>
      </c>
    </row>
    <row r="62" spans="1:15" x14ac:dyDescent="0.25">
      <c r="A62" t="s">
        <v>11</v>
      </c>
      <c r="B62" t="s">
        <v>12</v>
      </c>
      <c r="C62" t="s">
        <v>185</v>
      </c>
      <c r="D62" t="s">
        <v>53</v>
      </c>
      <c r="E62">
        <v>3863</v>
      </c>
      <c r="F62" t="s">
        <v>196</v>
      </c>
      <c r="G62" t="s">
        <v>123</v>
      </c>
      <c r="H62" t="s">
        <v>120</v>
      </c>
      <c r="I62" t="s">
        <v>18</v>
      </c>
      <c r="J62" s="9" t="s">
        <v>124</v>
      </c>
      <c r="K62" s="13">
        <v>0</v>
      </c>
      <c r="L62" s="17">
        <v>0</v>
      </c>
      <c r="M62" s="20">
        <v>0</v>
      </c>
      <c r="N62" s="18">
        <v>0</v>
      </c>
      <c r="O62" s="14">
        <v>0</v>
      </c>
    </row>
    <row r="63" spans="1:15" x14ac:dyDescent="0.25">
      <c r="A63" t="s">
        <v>11</v>
      </c>
      <c r="B63" t="s">
        <v>12</v>
      </c>
      <c r="C63" t="s">
        <v>185</v>
      </c>
      <c r="D63" t="s">
        <v>53</v>
      </c>
      <c r="E63">
        <v>4024</v>
      </c>
      <c r="F63" t="s">
        <v>197</v>
      </c>
      <c r="G63" t="s">
        <v>187</v>
      </c>
      <c r="H63" t="s">
        <v>105</v>
      </c>
      <c r="I63" t="s">
        <v>18</v>
      </c>
      <c r="J63" s="9" t="s">
        <v>198</v>
      </c>
      <c r="K63" s="13">
        <v>0</v>
      </c>
      <c r="L63" s="17">
        <v>0</v>
      </c>
      <c r="M63" s="20">
        <v>0</v>
      </c>
      <c r="N63" s="18">
        <v>0</v>
      </c>
      <c r="O63" s="14">
        <v>0</v>
      </c>
    </row>
    <row r="64" spans="1:15" x14ac:dyDescent="0.25">
      <c r="A64" t="s">
        <v>11</v>
      </c>
      <c r="B64" t="s">
        <v>12</v>
      </c>
      <c r="C64" t="s">
        <v>185</v>
      </c>
      <c r="D64" t="s">
        <v>53</v>
      </c>
      <c r="E64">
        <v>4053</v>
      </c>
      <c r="F64" t="s">
        <v>199</v>
      </c>
      <c r="G64" t="s">
        <v>41</v>
      </c>
      <c r="H64" t="s">
        <v>42</v>
      </c>
      <c r="I64" t="s">
        <v>18</v>
      </c>
      <c r="J64" s="9" t="s">
        <v>43</v>
      </c>
      <c r="K64" s="13">
        <v>0</v>
      </c>
      <c r="L64" s="17">
        <v>0</v>
      </c>
      <c r="M64" s="20">
        <v>0</v>
      </c>
      <c r="N64" s="18">
        <v>0</v>
      </c>
      <c r="O64" s="14">
        <v>0</v>
      </c>
    </row>
    <row r="65" spans="1:15" x14ac:dyDescent="0.25">
      <c r="A65" t="s">
        <v>11</v>
      </c>
      <c r="B65" t="s">
        <v>12</v>
      </c>
      <c r="C65" t="s">
        <v>185</v>
      </c>
      <c r="D65" t="s">
        <v>53</v>
      </c>
      <c r="E65">
        <v>4250</v>
      </c>
      <c r="F65" t="s">
        <v>200</v>
      </c>
      <c r="G65" t="s">
        <v>142</v>
      </c>
      <c r="H65" t="s">
        <v>57</v>
      </c>
      <c r="I65" t="s">
        <v>18</v>
      </c>
      <c r="J65" s="9" t="s">
        <v>39</v>
      </c>
      <c r="K65" s="13">
        <v>0</v>
      </c>
      <c r="L65" s="17">
        <v>0</v>
      </c>
      <c r="M65" s="20">
        <v>0</v>
      </c>
      <c r="N65" s="18">
        <v>0</v>
      </c>
      <c r="O65" s="14">
        <v>0</v>
      </c>
    </row>
    <row r="66" spans="1:15" x14ac:dyDescent="0.25">
      <c r="A66" t="s">
        <v>11</v>
      </c>
      <c r="B66" t="s">
        <v>12</v>
      </c>
      <c r="C66" t="s">
        <v>185</v>
      </c>
      <c r="D66" t="s">
        <v>53</v>
      </c>
      <c r="E66">
        <v>4654</v>
      </c>
      <c r="F66" t="s">
        <v>201</v>
      </c>
      <c r="G66" t="s">
        <v>133</v>
      </c>
      <c r="H66" t="s">
        <v>26</v>
      </c>
      <c r="I66" t="s">
        <v>12</v>
      </c>
      <c r="J66" s="9" t="s">
        <v>71</v>
      </c>
      <c r="K66" s="13">
        <v>0</v>
      </c>
      <c r="L66" s="17">
        <v>0</v>
      </c>
      <c r="M66" s="20">
        <v>0</v>
      </c>
      <c r="N66" s="18">
        <v>0</v>
      </c>
      <c r="O66" s="14">
        <v>0</v>
      </c>
    </row>
    <row r="67" spans="1:15" x14ac:dyDescent="0.25">
      <c r="A67" t="s">
        <v>11</v>
      </c>
      <c r="B67" t="s">
        <v>12</v>
      </c>
      <c r="C67" t="s">
        <v>185</v>
      </c>
      <c r="D67" t="s">
        <v>53</v>
      </c>
      <c r="E67">
        <v>4833</v>
      </c>
      <c r="F67" t="s">
        <v>202</v>
      </c>
      <c r="G67" t="s">
        <v>85</v>
      </c>
      <c r="H67" t="s">
        <v>57</v>
      </c>
      <c r="I67" t="s">
        <v>18</v>
      </c>
      <c r="J67" s="9" t="s">
        <v>39</v>
      </c>
      <c r="K67" s="13">
        <v>0</v>
      </c>
      <c r="L67" s="17">
        <v>0</v>
      </c>
      <c r="M67" s="20">
        <v>0</v>
      </c>
      <c r="N67" s="18">
        <v>0</v>
      </c>
      <c r="O67" s="14">
        <v>0</v>
      </c>
    </row>
    <row r="68" spans="1:15" x14ac:dyDescent="0.25">
      <c r="A68" t="s">
        <v>11</v>
      </c>
      <c r="B68" t="s">
        <v>12</v>
      </c>
      <c r="C68" t="s">
        <v>185</v>
      </c>
      <c r="D68" t="s">
        <v>53</v>
      </c>
      <c r="E68">
        <v>4970</v>
      </c>
      <c r="F68" t="s">
        <v>203</v>
      </c>
      <c r="G68" t="s">
        <v>135</v>
      </c>
      <c r="H68" t="s">
        <v>86</v>
      </c>
      <c r="I68" t="s">
        <v>18</v>
      </c>
      <c r="J68" s="9" t="s">
        <v>136</v>
      </c>
      <c r="K68" s="13">
        <v>0</v>
      </c>
      <c r="L68" s="17">
        <v>0</v>
      </c>
      <c r="M68" s="20">
        <v>0</v>
      </c>
      <c r="N68" s="18">
        <v>0</v>
      </c>
      <c r="O68" s="14">
        <v>0</v>
      </c>
    </row>
    <row r="69" spans="1:15" x14ac:dyDescent="0.25">
      <c r="A69" t="s">
        <v>11</v>
      </c>
      <c r="B69" t="s">
        <v>12</v>
      </c>
      <c r="C69" t="s">
        <v>204</v>
      </c>
      <c r="D69" t="s">
        <v>53</v>
      </c>
      <c r="E69">
        <v>2664</v>
      </c>
      <c r="F69" t="s">
        <v>24</v>
      </c>
      <c r="G69" t="s">
        <v>25</v>
      </c>
      <c r="H69" t="s">
        <v>26</v>
      </c>
      <c r="I69" t="s">
        <v>18</v>
      </c>
      <c r="J69" s="9" t="s">
        <v>27</v>
      </c>
      <c r="K69" s="13">
        <v>0</v>
      </c>
      <c r="L69" s="17">
        <v>0</v>
      </c>
      <c r="M69" s="20">
        <v>0</v>
      </c>
      <c r="N69" s="18">
        <v>0</v>
      </c>
      <c r="O69" s="14">
        <v>0</v>
      </c>
    </row>
    <row r="70" spans="1:15" x14ac:dyDescent="0.25">
      <c r="A70" t="s">
        <v>11</v>
      </c>
      <c r="B70" t="s">
        <v>12</v>
      </c>
      <c r="C70" t="s">
        <v>204</v>
      </c>
      <c r="D70" t="s">
        <v>53</v>
      </c>
      <c r="E70">
        <v>3060</v>
      </c>
      <c r="F70" t="s">
        <v>205</v>
      </c>
      <c r="G70" t="s">
        <v>21</v>
      </c>
      <c r="H70" t="s">
        <v>57</v>
      </c>
      <c r="I70" t="s">
        <v>18</v>
      </c>
      <c r="J70" s="9" t="s">
        <v>206</v>
      </c>
      <c r="K70" s="13">
        <v>0</v>
      </c>
      <c r="L70" s="17">
        <v>0</v>
      </c>
      <c r="M70" s="20">
        <v>0</v>
      </c>
      <c r="N70" s="18">
        <v>0</v>
      </c>
      <c r="O70" s="14">
        <v>0</v>
      </c>
    </row>
    <row r="71" spans="1:15" x14ac:dyDescent="0.25">
      <c r="A71" t="s">
        <v>11</v>
      </c>
      <c r="B71" t="s">
        <v>12</v>
      </c>
      <c r="C71" t="s">
        <v>204</v>
      </c>
      <c r="D71" t="s">
        <v>53</v>
      </c>
      <c r="E71">
        <v>4182</v>
      </c>
      <c r="F71" t="s">
        <v>207</v>
      </c>
      <c r="G71" t="s">
        <v>45</v>
      </c>
      <c r="H71" t="s">
        <v>26</v>
      </c>
      <c r="I71" t="s">
        <v>18</v>
      </c>
      <c r="J71" s="9" t="s">
        <v>46</v>
      </c>
      <c r="K71" s="13">
        <v>0</v>
      </c>
      <c r="L71" s="17">
        <v>0</v>
      </c>
      <c r="M71" s="20">
        <v>0</v>
      </c>
      <c r="N71" s="18">
        <v>0</v>
      </c>
      <c r="O71" s="14">
        <v>0</v>
      </c>
    </row>
    <row r="72" spans="1:15" x14ac:dyDescent="0.25">
      <c r="A72" t="s">
        <v>11</v>
      </c>
      <c r="B72" t="s">
        <v>12</v>
      </c>
      <c r="C72" t="s">
        <v>208</v>
      </c>
      <c r="D72" t="s">
        <v>53</v>
      </c>
      <c r="E72">
        <v>763</v>
      </c>
      <c r="F72" t="s">
        <v>209</v>
      </c>
      <c r="G72" t="s">
        <v>82</v>
      </c>
      <c r="H72" t="s">
        <v>210</v>
      </c>
      <c r="I72" t="s">
        <v>18</v>
      </c>
      <c r="J72" s="9" t="s">
        <v>211</v>
      </c>
      <c r="K72" s="13">
        <v>0</v>
      </c>
      <c r="L72" s="17">
        <v>0</v>
      </c>
      <c r="M72" s="20">
        <v>0</v>
      </c>
      <c r="N72" s="18">
        <v>0</v>
      </c>
      <c r="O72" s="14">
        <v>0</v>
      </c>
    </row>
    <row r="73" spans="1:15" x14ac:dyDescent="0.25">
      <c r="A73" t="s">
        <v>11</v>
      </c>
      <c r="B73" t="s">
        <v>12</v>
      </c>
      <c r="C73" t="s">
        <v>208</v>
      </c>
      <c r="D73" t="s">
        <v>53</v>
      </c>
      <c r="E73">
        <v>2212</v>
      </c>
      <c r="F73" t="s">
        <v>213</v>
      </c>
      <c r="G73" t="s">
        <v>82</v>
      </c>
      <c r="H73" t="s">
        <v>83</v>
      </c>
      <c r="I73" t="s">
        <v>18</v>
      </c>
      <c r="J73" s="9" t="s">
        <v>214</v>
      </c>
      <c r="K73" s="13">
        <v>0</v>
      </c>
      <c r="L73" s="17">
        <v>0</v>
      </c>
      <c r="M73" s="20">
        <v>0</v>
      </c>
      <c r="N73" s="18">
        <v>0</v>
      </c>
      <c r="O73" s="14">
        <v>0</v>
      </c>
    </row>
    <row r="74" spans="1:15" x14ac:dyDescent="0.25">
      <c r="A74" t="s">
        <v>11</v>
      </c>
      <c r="B74" t="s">
        <v>12</v>
      </c>
      <c r="C74" t="s">
        <v>208</v>
      </c>
      <c r="D74" t="s">
        <v>53</v>
      </c>
      <c r="E74" t="s">
        <v>215</v>
      </c>
      <c r="F74" t="s">
        <v>216</v>
      </c>
      <c r="G74" t="s">
        <v>82</v>
      </c>
      <c r="H74" t="s">
        <v>210</v>
      </c>
      <c r="I74" t="s">
        <v>12</v>
      </c>
      <c r="J74" s="9" t="s">
        <v>161</v>
      </c>
      <c r="K74" s="13">
        <v>0</v>
      </c>
      <c r="L74" s="17">
        <v>0</v>
      </c>
      <c r="M74" s="20">
        <v>0</v>
      </c>
      <c r="N74" s="18">
        <v>0</v>
      </c>
      <c r="O74" s="14">
        <v>0</v>
      </c>
    </row>
    <row r="75" spans="1:15" x14ac:dyDescent="0.25">
      <c r="A75" t="s">
        <v>11</v>
      </c>
      <c r="B75" t="s">
        <v>12</v>
      </c>
      <c r="C75" t="s">
        <v>208</v>
      </c>
      <c r="D75" t="s">
        <v>53</v>
      </c>
      <c r="E75" t="s">
        <v>215</v>
      </c>
      <c r="F75" t="s">
        <v>216</v>
      </c>
      <c r="G75" t="s">
        <v>82</v>
      </c>
      <c r="H75" t="s">
        <v>210</v>
      </c>
      <c r="I75" t="s">
        <v>12</v>
      </c>
      <c r="J75" s="9" t="s">
        <v>161</v>
      </c>
      <c r="K75" s="13">
        <v>0</v>
      </c>
      <c r="L75" s="17">
        <v>0</v>
      </c>
      <c r="M75" s="20">
        <v>0</v>
      </c>
      <c r="N75" s="18">
        <v>0</v>
      </c>
      <c r="O75" s="14">
        <v>0</v>
      </c>
    </row>
    <row r="76" spans="1:15" x14ac:dyDescent="0.25">
      <c r="A76" t="s">
        <v>11</v>
      </c>
      <c r="B76" t="s">
        <v>12</v>
      </c>
      <c r="C76" t="s">
        <v>217</v>
      </c>
      <c r="D76" t="s">
        <v>53</v>
      </c>
      <c r="E76">
        <v>1500</v>
      </c>
      <c r="F76" t="s">
        <v>79</v>
      </c>
      <c r="G76" t="s">
        <v>80</v>
      </c>
      <c r="H76" t="s">
        <v>42</v>
      </c>
      <c r="I76" t="s">
        <v>18</v>
      </c>
      <c r="J76" s="9" t="s">
        <v>81</v>
      </c>
      <c r="K76" s="13">
        <v>0</v>
      </c>
      <c r="L76" s="17">
        <v>0</v>
      </c>
      <c r="M76" s="20">
        <v>0</v>
      </c>
      <c r="N76" s="18">
        <v>0</v>
      </c>
      <c r="O76" s="14">
        <v>0</v>
      </c>
    </row>
    <row r="77" spans="1:15" x14ac:dyDescent="0.25">
      <c r="A77" t="s">
        <v>11</v>
      </c>
      <c r="B77" t="s">
        <v>12</v>
      </c>
      <c r="C77" t="s">
        <v>217</v>
      </c>
      <c r="D77" t="s">
        <v>53</v>
      </c>
      <c r="E77">
        <v>2440</v>
      </c>
      <c r="F77" t="s">
        <v>218</v>
      </c>
      <c r="G77" t="s">
        <v>21</v>
      </c>
      <c r="H77" t="s">
        <v>22</v>
      </c>
      <c r="I77" t="s">
        <v>18</v>
      </c>
      <c r="J77" s="9" t="s">
        <v>23</v>
      </c>
      <c r="K77" s="13">
        <v>0</v>
      </c>
      <c r="L77" s="17">
        <v>0</v>
      </c>
      <c r="M77" s="20">
        <v>0</v>
      </c>
      <c r="N77" s="18">
        <v>0</v>
      </c>
      <c r="O77" s="14">
        <v>0</v>
      </c>
    </row>
    <row r="78" spans="1:15" x14ac:dyDescent="0.25">
      <c r="A78" t="s">
        <v>11</v>
      </c>
      <c r="B78" t="s">
        <v>12</v>
      </c>
      <c r="C78" t="s">
        <v>217</v>
      </c>
      <c r="D78" t="s">
        <v>53</v>
      </c>
      <c r="E78">
        <v>2622</v>
      </c>
      <c r="F78" t="s">
        <v>219</v>
      </c>
      <c r="G78" t="s">
        <v>85</v>
      </c>
      <c r="H78" t="s">
        <v>220</v>
      </c>
      <c r="I78" t="s">
        <v>12</v>
      </c>
      <c r="J78" s="9" t="s">
        <v>75</v>
      </c>
      <c r="K78" s="13">
        <v>0</v>
      </c>
      <c r="L78" s="17">
        <v>0</v>
      </c>
      <c r="M78" s="20">
        <v>0</v>
      </c>
      <c r="N78" s="18">
        <v>0</v>
      </c>
      <c r="O78" s="14">
        <v>0</v>
      </c>
    </row>
    <row r="79" spans="1:15" x14ac:dyDescent="0.25">
      <c r="A79" t="s">
        <v>11</v>
      </c>
      <c r="B79" t="s">
        <v>12</v>
      </c>
      <c r="C79" t="s">
        <v>217</v>
      </c>
      <c r="D79" t="s">
        <v>53</v>
      </c>
      <c r="E79">
        <v>3667</v>
      </c>
      <c r="F79" t="s">
        <v>111</v>
      </c>
      <c r="G79" t="s">
        <v>108</v>
      </c>
      <c r="H79" t="s">
        <v>109</v>
      </c>
      <c r="I79" t="s">
        <v>18</v>
      </c>
      <c r="J79" s="9" t="s">
        <v>112</v>
      </c>
      <c r="K79" s="13">
        <v>0</v>
      </c>
      <c r="L79" s="17">
        <v>0</v>
      </c>
      <c r="M79" s="20">
        <v>0</v>
      </c>
      <c r="N79" s="18">
        <v>0</v>
      </c>
      <c r="O79" s="14">
        <v>0</v>
      </c>
    </row>
    <row r="80" spans="1:15" x14ac:dyDescent="0.25">
      <c r="A80" t="s">
        <v>11</v>
      </c>
      <c r="B80" t="s">
        <v>12</v>
      </c>
      <c r="C80" t="s">
        <v>217</v>
      </c>
      <c r="D80" t="s">
        <v>53</v>
      </c>
      <c r="E80" t="s">
        <v>50</v>
      </c>
      <c r="F80" t="s">
        <v>76</v>
      </c>
      <c r="G80" t="s">
        <v>51</v>
      </c>
      <c r="H80" t="s">
        <v>77</v>
      </c>
      <c r="I80" t="s">
        <v>12</v>
      </c>
      <c r="J80" s="9" t="s">
        <v>48</v>
      </c>
      <c r="K80" s="13">
        <v>0</v>
      </c>
      <c r="L80" s="17">
        <v>0</v>
      </c>
      <c r="M80" s="20">
        <v>0</v>
      </c>
      <c r="N80" s="18">
        <v>0</v>
      </c>
      <c r="O80" s="14">
        <v>0</v>
      </c>
    </row>
    <row r="81" spans="1:15" x14ac:dyDescent="0.25">
      <c r="A81" t="s">
        <v>11</v>
      </c>
      <c r="B81" t="s">
        <v>12</v>
      </c>
      <c r="C81" t="s">
        <v>221</v>
      </c>
      <c r="D81" t="s">
        <v>53</v>
      </c>
      <c r="E81">
        <v>3156</v>
      </c>
      <c r="F81" t="s">
        <v>222</v>
      </c>
      <c r="G81" t="s">
        <v>223</v>
      </c>
      <c r="H81" t="s">
        <v>224</v>
      </c>
      <c r="I81" t="s">
        <v>18</v>
      </c>
      <c r="J81" s="9" t="s">
        <v>70</v>
      </c>
      <c r="K81" s="13">
        <v>0</v>
      </c>
      <c r="L81" s="17">
        <v>0</v>
      </c>
      <c r="M81" s="20">
        <v>0</v>
      </c>
      <c r="N81" s="18">
        <v>0</v>
      </c>
      <c r="O81" s="14">
        <v>0</v>
      </c>
    </row>
    <row r="82" spans="1:15" x14ac:dyDescent="0.25">
      <c r="A82" t="s">
        <v>11</v>
      </c>
      <c r="B82" t="s">
        <v>12</v>
      </c>
      <c r="C82" t="s">
        <v>221</v>
      </c>
      <c r="D82" t="s">
        <v>53</v>
      </c>
      <c r="E82">
        <v>4164</v>
      </c>
      <c r="F82" t="s">
        <v>225</v>
      </c>
      <c r="G82" t="s">
        <v>226</v>
      </c>
      <c r="H82" t="s">
        <v>224</v>
      </c>
      <c r="I82" t="s">
        <v>18</v>
      </c>
      <c r="J82" s="9" t="s">
        <v>127</v>
      </c>
      <c r="K82" s="13">
        <v>0</v>
      </c>
      <c r="L82" s="17">
        <v>0</v>
      </c>
      <c r="M82" s="20">
        <v>0</v>
      </c>
      <c r="N82" s="18">
        <v>0</v>
      </c>
      <c r="O82" s="14">
        <v>0</v>
      </c>
    </row>
    <row r="83" spans="1:15" x14ac:dyDescent="0.25">
      <c r="A83" t="s">
        <v>11</v>
      </c>
      <c r="B83" t="s">
        <v>12</v>
      </c>
      <c r="C83" t="s">
        <v>221</v>
      </c>
      <c r="D83" t="s">
        <v>53</v>
      </c>
      <c r="E83">
        <v>4596</v>
      </c>
      <c r="F83" t="s">
        <v>130</v>
      </c>
      <c r="G83" t="s">
        <v>131</v>
      </c>
      <c r="H83" t="s">
        <v>105</v>
      </c>
      <c r="I83" t="s">
        <v>18</v>
      </c>
      <c r="J83" s="9" t="s">
        <v>132</v>
      </c>
      <c r="K83" s="13">
        <v>0</v>
      </c>
      <c r="L83" s="17">
        <v>0</v>
      </c>
      <c r="M83" s="20">
        <v>0</v>
      </c>
      <c r="N83" s="18">
        <v>0</v>
      </c>
      <c r="O83" s="14">
        <v>0</v>
      </c>
    </row>
    <row r="84" spans="1:15" x14ac:dyDescent="0.25">
      <c r="A84" t="s">
        <v>11</v>
      </c>
      <c r="B84" t="s">
        <v>12</v>
      </c>
      <c r="C84" t="s">
        <v>221</v>
      </c>
      <c r="D84" t="s">
        <v>53</v>
      </c>
      <c r="E84">
        <v>5259</v>
      </c>
      <c r="F84" t="s">
        <v>227</v>
      </c>
      <c r="G84" t="s">
        <v>137</v>
      </c>
      <c r="H84" t="s">
        <v>105</v>
      </c>
      <c r="I84" t="s">
        <v>18</v>
      </c>
      <c r="J84" s="9" t="s">
        <v>138</v>
      </c>
      <c r="K84" s="13">
        <v>0</v>
      </c>
      <c r="L84" s="17">
        <v>0</v>
      </c>
      <c r="M84" s="20">
        <v>0</v>
      </c>
      <c r="N84" s="18">
        <v>0</v>
      </c>
      <c r="O84" s="14">
        <v>0</v>
      </c>
    </row>
    <row r="85" spans="1:15" x14ac:dyDescent="0.25">
      <c r="J85" s="9"/>
      <c r="K85" s="22"/>
      <c r="L85" s="22"/>
      <c r="M85" s="22"/>
      <c r="N85" s="22"/>
      <c r="O85" s="22"/>
    </row>
    <row r="86" spans="1:15" x14ac:dyDescent="0.25">
      <c r="J86" s="9"/>
      <c r="K86" s="22"/>
      <c r="L86" s="22"/>
      <c r="M86" s="22"/>
      <c r="N86" s="22"/>
      <c r="O86" s="22"/>
    </row>
    <row r="87" spans="1:15" x14ac:dyDescent="0.25">
      <c r="J87" s="9"/>
      <c r="K87" s="22"/>
      <c r="L87" s="22"/>
      <c r="M87" s="22"/>
      <c r="N87" s="22"/>
      <c r="O87" s="22"/>
    </row>
    <row r="88" spans="1:15" x14ac:dyDescent="0.25">
      <c r="J88" s="9"/>
      <c r="K88" s="22"/>
      <c r="L88" s="22"/>
      <c r="M88" s="22"/>
      <c r="N88" s="22"/>
      <c r="O88" s="22"/>
    </row>
    <row r="89" spans="1:15" x14ac:dyDescent="0.25">
      <c r="J89" s="9"/>
      <c r="K89" s="22"/>
      <c r="L89" s="22"/>
      <c r="M89" s="22"/>
      <c r="N89" s="22"/>
      <c r="O89" s="22"/>
    </row>
    <row r="90" spans="1:15" x14ac:dyDescent="0.25">
      <c r="J90" s="9"/>
      <c r="K90" s="22"/>
      <c r="L90" s="22"/>
      <c r="M90" s="22"/>
      <c r="N90" s="22"/>
      <c r="O90" s="22"/>
    </row>
    <row r="91" spans="1:15" x14ac:dyDescent="0.25">
      <c r="J91" s="9"/>
      <c r="K91" s="22"/>
      <c r="L91" s="22"/>
      <c r="M91" s="22"/>
      <c r="N91" s="22"/>
      <c r="O91" s="22"/>
    </row>
    <row r="92" spans="1:15" x14ac:dyDescent="0.25">
      <c r="J92" s="9"/>
      <c r="K92" s="22"/>
      <c r="L92" s="22"/>
      <c r="M92" s="22"/>
      <c r="N92" s="22"/>
      <c r="O92" s="22"/>
    </row>
    <row r="93" spans="1:15" x14ac:dyDescent="0.25">
      <c r="J93" s="9"/>
      <c r="K93" s="22"/>
      <c r="L93" s="22"/>
      <c r="M93" s="22"/>
      <c r="N93" s="22"/>
      <c r="O93" s="22"/>
    </row>
    <row r="94" spans="1:15" x14ac:dyDescent="0.25">
      <c r="J94" s="9"/>
      <c r="K94" s="22"/>
      <c r="L94" s="22"/>
      <c r="M94" s="22"/>
      <c r="N94" s="22"/>
      <c r="O94" s="22"/>
    </row>
    <row r="95" spans="1:15" x14ac:dyDescent="0.25">
      <c r="J95" s="9"/>
      <c r="K95" s="22"/>
      <c r="L95" s="22"/>
      <c r="M95" s="22"/>
      <c r="N95" s="22"/>
      <c r="O95" s="22"/>
    </row>
    <row r="96" spans="1:15" x14ac:dyDescent="0.25">
      <c r="J96" s="9"/>
      <c r="K96" s="22"/>
      <c r="L96" s="22"/>
      <c r="M96" s="22"/>
      <c r="N96" s="22"/>
      <c r="O96" s="22"/>
    </row>
    <row r="97" spans="10:15" x14ac:dyDescent="0.25">
      <c r="J97" s="9"/>
      <c r="K97" s="22"/>
      <c r="L97" s="22"/>
      <c r="M97" s="22"/>
      <c r="N97" s="22"/>
      <c r="O97" s="22"/>
    </row>
    <row r="98" spans="10:15" x14ac:dyDescent="0.25">
      <c r="J98" s="9"/>
      <c r="K98" s="22"/>
      <c r="L98" s="22"/>
      <c r="M98" s="22"/>
      <c r="N98" s="22"/>
      <c r="O98" s="22"/>
    </row>
    <row r="99" spans="10:15" x14ac:dyDescent="0.25">
      <c r="J99" s="9"/>
      <c r="K99" s="22"/>
      <c r="L99" s="22"/>
      <c r="M99" s="22"/>
      <c r="N99" s="22"/>
      <c r="O99" s="22"/>
    </row>
    <row r="100" spans="10:15" x14ac:dyDescent="0.25">
      <c r="J100" s="9"/>
      <c r="K100" s="22"/>
      <c r="L100" s="22"/>
      <c r="M100" s="22"/>
      <c r="N100" s="22"/>
      <c r="O100" s="22"/>
    </row>
    <row r="101" spans="10:15" x14ac:dyDescent="0.25">
      <c r="J101" s="9"/>
      <c r="K101" s="22"/>
      <c r="L101" s="22"/>
      <c r="M101" s="22"/>
      <c r="N101" s="22"/>
      <c r="O101" s="22"/>
    </row>
    <row r="102" spans="10:15" x14ac:dyDescent="0.25">
      <c r="J102" s="9"/>
      <c r="K102" s="22"/>
      <c r="L102" s="22"/>
      <c r="M102" s="22"/>
      <c r="N102" s="22"/>
      <c r="O102" s="22"/>
    </row>
    <row r="103" spans="10:15" x14ac:dyDescent="0.25">
      <c r="J103" s="9"/>
      <c r="K103" s="22"/>
      <c r="L103" s="22"/>
      <c r="M103" s="22"/>
      <c r="N103" s="22"/>
      <c r="O103" s="22"/>
    </row>
    <row r="104" spans="10:15" x14ac:dyDescent="0.25">
      <c r="J104" s="9"/>
      <c r="K104" s="22"/>
      <c r="L104" s="22"/>
      <c r="M104" s="22"/>
      <c r="N104" s="22"/>
      <c r="O104" s="22"/>
    </row>
    <row r="105" spans="10:15" x14ac:dyDescent="0.25">
      <c r="J105" s="9"/>
      <c r="K105" s="22"/>
      <c r="L105" s="22"/>
      <c r="M105" s="22"/>
      <c r="N105" s="22"/>
      <c r="O105" s="22"/>
    </row>
    <row r="106" spans="10:15" x14ac:dyDescent="0.25">
      <c r="J106" s="9"/>
      <c r="K106" s="22"/>
      <c r="L106" s="22"/>
      <c r="M106" s="22"/>
      <c r="N106" s="22"/>
      <c r="O106" s="22"/>
    </row>
    <row r="107" spans="10:15" x14ac:dyDescent="0.25">
      <c r="J107" s="9"/>
      <c r="K107" s="22"/>
      <c r="L107" s="22"/>
      <c r="M107" s="22"/>
      <c r="N107" s="22"/>
      <c r="O107" s="22"/>
    </row>
    <row r="108" spans="10:15" x14ac:dyDescent="0.25">
      <c r="J108" s="9"/>
      <c r="K108" s="22"/>
      <c r="L108" s="22"/>
      <c r="M108" s="22"/>
      <c r="N108" s="22"/>
      <c r="O108" s="22"/>
    </row>
    <row r="109" spans="10:15" x14ac:dyDescent="0.25">
      <c r="J109" s="9"/>
      <c r="K109" s="22"/>
      <c r="L109" s="22"/>
      <c r="M109" s="22"/>
      <c r="N109" s="22"/>
      <c r="O109" s="22"/>
    </row>
    <row r="110" spans="10:15" x14ac:dyDescent="0.25">
      <c r="J110" s="9"/>
      <c r="K110" s="22"/>
      <c r="L110" s="22"/>
      <c r="M110" s="22"/>
      <c r="N110" s="22"/>
      <c r="O110" s="22"/>
    </row>
    <row r="111" spans="10:15" x14ac:dyDescent="0.25">
      <c r="J111" s="9"/>
      <c r="K111" s="22"/>
      <c r="L111" s="22"/>
      <c r="M111" s="22"/>
      <c r="N111" s="22"/>
      <c r="O111" s="22"/>
    </row>
    <row r="112" spans="10:15" x14ac:dyDescent="0.25">
      <c r="J112" s="9"/>
      <c r="K112" s="22"/>
      <c r="L112" s="22"/>
      <c r="M112" s="22"/>
      <c r="N112" s="22"/>
      <c r="O112" s="22"/>
    </row>
    <row r="113" spans="10:15" x14ac:dyDescent="0.25">
      <c r="J113" s="9"/>
      <c r="K113" s="22"/>
      <c r="L113" s="22"/>
      <c r="M113" s="22"/>
      <c r="N113" s="22"/>
      <c r="O113" s="22"/>
    </row>
    <row r="114" spans="10:15" x14ac:dyDescent="0.25">
      <c r="J114" s="9"/>
      <c r="K114" s="22"/>
      <c r="L114" s="22"/>
      <c r="M114" s="22"/>
      <c r="N114" s="22"/>
      <c r="O114" s="22"/>
    </row>
    <row r="115" spans="10:15" x14ac:dyDescent="0.25">
      <c r="J115" s="9"/>
      <c r="K115" s="22"/>
      <c r="L115" s="22"/>
      <c r="M115" s="22"/>
      <c r="N115" s="22"/>
      <c r="O115" s="22"/>
    </row>
    <row r="116" spans="10:15" x14ac:dyDescent="0.25">
      <c r="J116" s="9"/>
      <c r="K116" s="22"/>
      <c r="L116" s="22"/>
      <c r="M116" s="22"/>
      <c r="N116" s="22"/>
      <c r="O116" s="22"/>
    </row>
    <row r="117" spans="10:15" x14ac:dyDescent="0.25">
      <c r="J117" s="9"/>
      <c r="K117" s="22"/>
      <c r="L117" s="22"/>
      <c r="M117" s="22"/>
      <c r="N117" s="22"/>
      <c r="O117" s="22"/>
    </row>
    <row r="118" spans="10:15" x14ac:dyDescent="0.25">
      <c r="J118" s="9"/>
      <c r="K118" s="22"/>
      <c r="L118" s="22"/>
      <c r="M118" s="22"/>
      <c r="N118" s="22"/>
      <c r="O118" s="22"/>
    </row>
    <row r="119" spans="10:15" x14ac:dyDescent="0.25">
      <c r="J119" s="9"/>
      <c r="K119" s="22"/>
      <c r="L119" s="22"/>
      <c r="M119" s="22"/>
      <c r="N119" s="22"/>
      <c r="O119" s="22"/>
    </row>
    <row r="120" spans="10:15" x14ac:dyDescent="0.25">
      <c r="J120" s="9"/>
      <c r="K120" s="22"/>
      <c r="L120" s="22"/>
      <c r="M120" s="22"/>
      <c r="N120" s="22"/>
      <c r="O120" s="22"/>
    </row>
    <row r="121" spans="10:15" x14ac:dyDescent="0.25">
      <c r="J121" s="9"/>
      <c r="K121" s="22"/>
      <c r="L121" s="22"/>
      <c r="M121" s="22"/>
      <c r="N121" s="22"/>
      <c r="O121" s="22"/>
    </row>
    <row r="122" spans="10:15" x14ac:dyDescent="0.25">
      <c r="J122" s="9"/>
      <c r="K122" s="22"/>
      <c r="L122" s="22"/>
      <c r="M122" s="22"/>
      <c r="N122" s="22"/>
      <c r="O122" s="22"/>
    </row>
    <row r="123" spans="10:15" x14ac:dyDescent="0.25">
      <c r="J123" s="9"/>
      <c r="K123" s="22"/>
      <c r="L123" s="22"/>
      <c r="M123" s="22"/>
      <c r="N123" s="22"/>
      <c r="O123" s="22"/>
    </row>
    <row r="124" spans="10:15" x14ac:dyDescent="0.25">
      <c r="J124" s="9"/>
      <c r="K124" s="22"/>
      <c r="L124" s="22"/>
      <c r="M124" s="22"/>
      <c r="N124" s="22"/>
      <c r="O124" s="22"/>
    </row>
    <row r="125" spans="10:15" x14ac:dyDescent="0.25">
      <c r="J125" s="9"/>
      <c r="K125" s="22"/>
      <c r="L125" s="22"/>
      <c r="M125" s="22"/>
      <c r="N125" s="22"/>
      <c r="O125" s="22"/>
    </row>
    <row r="126" spans="10:15" x14ac:dyDescent="0.25">
      <c r="J126" s="9"/>
      <c r="K126" s="22"/>
      <c r="L126" s="22"/>
      <c r="M126" s="22"/>
      <c r="N126" s="22"/>
      <c r="O126" s="22"/>
    </row>
    <row r="127" spans="10:15" x14ac:dyDescent="0.25">
      <c r="J127" s="9"/>
      <c r="K127" s="22"/>
      <c r="L127" s="22"/>
      <c r="M127" s="22"/>
      <c r="N127" s="22"/>
      <c r="O127" s="22"/>
    </row>
    <row r="128" spans="10:15" x14ac:dyDescent="0.25">
      <c r="J128" s="9"/>
      <c r="K128" s="22"/>
      <c r="L128" s="22"/>
      <c r="M128" s="22"/>
      <c r="N128" s="22"/>
      <c r="O128" s="22"/>
    </row>
    <row r="129" spans="10:15" x14ac:dyDescent="0.25">
      <c r="J129" s="9"/>
      <c r="K129" s="22"/>
      <c r="L129" s="22"/>
      <c r="M129" s="22"/>
      <c r="N129" s="22"/>
      <c r="O129" s="22"/>
    </row>
    <row r="130" spans="10:15" x14ac:dyDescent="0.25">
      <c r="J130" s="9"/>
      <c r="K130" s="22"/>
      <c r="L130" s="22"/>
      <c r="M130" s="22"/>
      <c r="N130" s="22"/>
      <c r="O130" s="22"/>
    </row>
    <row r="131" spans="10:15" x14ac:dyDescent="0.25">
      <c r="J131" s="9"/>
      <c r="K131" s="22"/>
      <c r="L131" s="22"/>
      <c r="M131" s="22"/>
      <c r="N131" s="22"/>
      <c r="O131" s="22"/>
    </row>
    <row r="132" spans="10:15" x14ac:dyDescent="0.25">
      <c r="J132" s="9"/>
      <c r="K132" s="22"/>
      <c r="L132" s="22"/>
      <c r="M132" s="22"/>
      <c r="N132" s="22"/>
      <c r="O132" s="22"/>
    </row>
    <row r="133" spans="10:15" x14ac:dyDescent="0.25">
      <c r="J133" s="9"/>
      <c r="K133" s="22"/>
      <c r="L133" s="22"/>
      <c r="M133" s="22"/>
      <c r="N133" s="22"/>
      <c r="O133" s="22"/>
    </row>
    <row r="134" spans="10:15" x14ac:dyDescent="0.25">
      <c r="J134" s="9"/>
      <c r="K134" s="22"/>
      <c r="L134" s="22"/>
      <c r="M134" s="22"/>
      <c r="N134" s="22"/>
      <c r="O134" s="22"/>
    </row>
    <row r="135" spans="10:15" x14ac:dyDescent="0.25">
      <c r="J135" s="9"/>
      <c r="K135" s="22"/>
      <c r="L135" s="22"/>
      <c r="M135" s="22"/>
      <c r="N135" s="22"/>
      <c r="O135" s="22"/>
    </row>
    <row r="136" spans="10:15" x14ac:dyDescent="0.25">
      <c r="J136" s="9"/>
      <c r="K136" s="22"/>
      <c r="L136" s="22"/>
      <c r="M136" s="22"/>
      <c r="N136" s="22"/>
      <c r="O136" s="22"/>
    </row>
    <row r="137" spans="10:15" x14ac:dyDescent="0.25">
      <c r="J137" s="9"/>
      <c r="K137" s="22"/>
      <c r="L137" s="22"/>
      <c r="M137" s="22"/>
      <c r="N137" s="22"/>
      <c r="O137" s="22"/>
    </row>
    <row r="138" spans="10:15" x14ac:dyDescent="0.25">
      <c r="J138" s="9"/>
      <c r="K138" s="22"/>
      <c r="L138" s="22"/>
      <c r="M138" s="22"/>
      <c r="N138" s="22"/>
      <c r="O138" s="22"/>
    </row>
    <row r="139" spans="10:15" x14ac:dyDescent="0.25">
      <c r="J139" s="9"/>
      <c r="K139" s="22"/>
      <c r="L139" s="22"/>
      <c r="M139" s="22"/>
      <c r="N139" s="22"/>
      <c r="O139" s="22"/>
    </row>
    <row r="140" spans="10:15" x14ac:dyDescent="0.25">
      <c r="J140" s="9"/>
      <c r="K140" s="22"/>
      <c r="L140" s="22"/>
      <c r="M140" s="22"/>
      <c r="N140" s="22"/>
      <c r="O140" s="22"/>
    </row>
    <row r="141" spans="10:15" x14ac:dyDescent="0.25">
      <c r="J141" s="9"/>
      <c r="K141" s="22"/>
      <c r="L141" s="22"/>
      <c r="M141" s="22"/>
      <c r="N141" s="22"/>
      <c r="O141" s="22"/>
    </row>
    <row r="142" spans="10:15" x14ac:dyDescent="0.25">
      <c r="J142" s="9"/>
      <c r="K142" s="22"/>
      <c r="L142" s="22"/>
      <c r="M142" s="22"/>
      <c r="N142" s="22"/>
      <c r="O142" s="22"/>
    </row>
    <row r="143" spans="10:15" x14ac:dyDescent="0.25">
      <c r="J143" s="9"/>
      <c r="K143" s="22"/>
      <c r="L143" s="22"/>
      <c r="M143" s="22"/>
      <c r="N143" s="22"/>
      <c r="O143" s="22"/>
    </row>
    <row r="144" spans="10:15" x14ac:dyDescent="0.25">
      <c r="J144" s="9"/>
      <c r="K144" s="22"/>
      <c r="L144" s="22"/>
      <c r="M144" s="22"/>
      <c r="N144" s="22"/>
      <c r="O144" s="22"/>
    </row>
    <row r="145" spans="10:15" x14ac:dyDescent="0.25">
      <c r="J145" s="9"/>
      <c r="K145" s="22"/>
      <c r="L145" s="22"/>
      <c r="M145" s="22"/>
      <c r="N145" s="22"/>
      <c r="O145" s="22"/>
    </row>
    <row r="146" spans="10:15" x14ac:dyDescent="0.25">
      <c r="J146" s="9"/>
      <c r="K146" s="22"/>
      <c r="L146" s="22"/>
      <c r="M146" s="22"/>
      <c r="N146" s="22"/>
      <c r="O146" s="22"/>
    </row>
    <row r="147" spans="10:15" x14ac:dyDescent="0.25">
      <c r="J147" s="9"/>
      <c r="K147" s="22"/>
      <c r="L147" s="22"/>
      <c r="M147" s="22"/>
      <c r="N147" s="22"/>
      <c r="O147" s="22"/>
    </row>
    <row r="148" spans="10:15" x14ac:dyDescent="0.25">
      <c r="J148" s="9"/>
      <c r="K148" s="22"/>
      <c r="L148" s="22"/>
      <c r="M148" s="22"/>
      <c r="N148" s="22"/>
      <c r="O148" s="22"/>
    </row>
    <row r="149" spans="10:15" x14ac:dyDescent="0.25">
      <c r="J149" s="9"/>
      <c r="K149" s="22"/>
      <c r="L149" s="22"/>
      <c r="M149" s="22"/>
      <c r="N149" s="22"/>
      <c r="O149" s="22"/>
    </row>
    <row r="150" spans="10:15" x14ac:dyDescent="0.25">
      <c r="J150" s="9"/>
      <c r="K150" s="22"/>
      <c r="L150" s="22"/>
      <c r="M150" s="22"/>
      <c r="N150" s="22"/>
      <c r="O150" s="22"/>
    </row>
    <row r="151" spans="10:15" x14ac:dyDescent="0.25">
      <c r="J151" s="9"/>
      <c r="K151" s="22"/>
      <c r="L151" s="22"/>
      <c r="M151" s="22"/>
      <c r="N151" s="22"/>
      <c r="O151" s="22"/>
    </row>
    <row r="152" spans="10:15" x14ac:dyDescent="0.25">
      <c r="J152" s="9"/>
      <c r="K152" s="22"/>
      <c r="L152" s="22"/>
      <c r="M152" s="22"/>
      <c r="N152" s="22"/>
      <c r="O152" s="22"/>
    </row>
    <row r="153" spans="10:15" x14ac:dyDescent="0.25">
      <c r="J153" s="9"/>
      <c r="K153" s="22"/>
      <c r="L153" s="22"/>
      <c r="M153" s="22"/>
      <c r="N153" s="22"/>
      <c r="O153" s="22"/>
    </row>
    <row r="154" spans="10:15" x14ac:dyDescent="0.25">
      <c r="J154" s="9"/>
      <c r="K154" s="22"/>
      <c r="L154" s="22"/>
      <c r="M154" s="22"/>
      <c r="N154" s="22"/>
      <c r="O154" s="22"/>
    </row>
    <row r="155" spans="10:15" x14ac:dyDescent="0.25">
      <c r="J155" s="9"/>
      <c r="K155" s="22"/>
      <c r="L155" s="22"/>
      <c r="M155" s="22"/>
      <c r="N155" s="22"/>
      <c r="O155" s="22"/>
    </row>
    <row r="156" spans="10:15" x14ac:dyDescent="0.25">
      <c r="J156" s="9"/>
      <c r="K156" s="22"/>
      <c r="L156" s="22"/>
      <c r="M156" s="22"/>
      <c r="N156" s="22"/>
      <c r="O156" s="22"/>
    </row>
    <row r="157" spans="10:15" x14ac:dyDescent="0.25">
      <c r="J157" s="9"/>
      <c r="K157" s="22"/>
      <c r="L157" s="22"/>
      <c r="M157" s="22"/>
      <c r="N157" s="22"/>
      <c r="O157" s="22"/>
    </row>
    <row r="158" spans="10:15" x14ac:dyDescent="0.25">
      <c r="J158" s="9"/>
      <c r="K158" s="22"/>
      <c r="L158" s="22"/>
      <c r="M158" s="22"/>
      <c r="N158" s="22"/>
      <c r="O158" s="22"/>
    </row>
    <row r="159" spans="10:15" x14ac:dyDescent="0.25">
      <c r="J159" s="9"/>
      <c r="K159" s="22"/>
      <c r="L159" s="22"/>
      <c r="M159" s="22"/>
      <c r="N159" s="22"/>
      <c r="O159" s="22"/>
    </row>
    <row r="160" spans="10:15" x14ac:dyDescent="0.25">
      <c r="J160" s="9"/>
      <c r="K160" s="22"/>
      <c r="L160" s="22"/>
      <c r="M160" s="22"/>
      <c r="N160" s="22"/>
      <c r="O160" s="22"/>
    </row>
    <row r="161" spans="10:15" x14ac:dyDescent="0.25">
      <c r="J161" s="9"/>
      <c r="K161" s="22"/>
      <c r="L161" s="22"/>
      <c r="M161" s="22"/>
      <c r="N161" s="22"/>
      <c r="O161" s="22"/>
    </row>
    <row r="162" spans="10:15" x14ac:dyDescent="0.25">
      <c r="J162" s="9"/>
      <c r="K162" s="22"/>
      <c r="L162" s="22"/>
      <c r="M162" s="22"/>
      <c r="N162" s="22"/>
      <c r="O162" s="22"/>
    </row>
    <row r="163" spans="10:15" x14ac:dyDescent="0.25">
      <c r="J163" s="9"/>
      <c r="K163" s="22"/>
      <c r="L163" s="22"/>
      <c r="M163" s="22"/>
      <c r="N163" s="22"/>
      <c r="O163" s="22"/>
    </row>
    <row r="164" spans="10:15" x14ac:dyDescent="0.25">
      <c r="J164" s="9"/>
      <c r="K164" s="22"/>
      <c r="L164" s="22"/>
      <c r="M164" s="22"/>
      <c r="N164" s="22"/>
      <c r="O164" s="22"/>
    </row>
    <row r="165" spans="10:15" x14ac:dyDescent="0.25">
      <c r="J165" s="9"/>
      <c r="K165" s="22"/>
      <c r="L165" s="22"/>
      <c r="M165" s="22"/>
      <c r="N165" s="22"/>
      <c r="O165" s="22"/>
    </row>
    <row r="166" spans="10:15" x14ac:dyDescent="0.25">
      <c r="J166" s="9"/>
      <c r="K166" s="22"/>
      <c r="L166" s="22"/>
      <c r="M166" s="22"/>
      <c r="N166" s="22"/>
      <c r="O166" s="22"/>
    </row>
    <row r="167" spans="10:15" x14ac:dyDescent="0.25">
      <c r="J167" s="9"/>
      <c r="K167" s="22"/>
      <c r="L167" s="22"/>
      <c r="M167" s="22"/>
      <c r="N167" s="22"/>
      <c r="O167" s="22"/>
    </row>
    <row r="168" spans="10:15" x14ac:dyDescent="0.25">
      <c r="J168" s="9"/>
      <c r="K168" s="22"/>
      <c r="L168" s="22"/>
      <c r="M168" s="22"/>
      <c r="N168" s="22"/>
      <c r="O168" s="22"/>
    </row>
    <row r="169" spans="10:15" x14ac:dyDescent="0.25">
      <c r="J169" s="9"/>
      <c r="K169" s="22"/>
      <c r="L169" s="22"/>
      <c r="M169" s="22"/>
      <c r="N169" s="22"/>
      <c r="O169" s="22"/>
    </row>
    <row r="170" spans="10:15" x14ac:dyDescent="0.25">
      <c r="J170" s="9"/>
      <c r="K170" s="22"/>
      <c r="L170" s="22"/>
      <c r="M170" s="22"/>
      <c r="N170" s="22"/>
      <c r="O170" s="22"/>
    </row>
    <row r="171" spans="10:15" x14ac:dyDescent="0.25">
      <c r="J171" s="9"/>
      <c r="K171" s="22"/>
      <c r="L171" s="22"/>
      <c r="M171" s="22"/>
      <c r="N171" s="22"/>
      <c r="O171" s="22"/>
    </row>
    <row r="172" spans="10:15" x14ac:dyDescent="0.25">
      <c r="J172" s="9"/>
      <c r="K172" s="22"/>
      <c r="L172" s="22"/>
      <c r="M172" s="22"/>
      <c r="N172" s="22"/>
      <c r="O172" s="22"/>
    </row>
    <row r="173" spans="10:15" x14ac:dyDescent="0.25">
      <c r="J173" s="9"/>
      <c r="K173" s="22"/>
      <c r="L173" s="22"/>
      <c r="M173" s="22"/>
      <c r="N173" s="22"/>
      <c r="O173" s="22"/>
    </row>
    <row r="174" spans="10:15" x14ac:dyDescent="0.25">
      <c r="J174" s="9"/>
      <c r="K174" s="22"/>
      <c r="L174" s="22"/>
      <c r="M174" s="22"/>
      <c r="N174" s="22"/>
      <c r="O174" s="22"/>
    </row>
    <row r="175" spans="10:15" x14ac:dyDescent="0.25">
      <c r="J175" s="9"/>
      <c r="K175" s="22"/>
      <c r="L175" s="22"/>
      <c r="M175" s="22"/>
      <c r="N175" s="22"/>
      <c r="O175" s="22"/>
    </row>
    <row r="176" spans="10:15" x14ac:dyDescent="0.25">
      <c r="J176" s="9"/>
      <c r="K176" s="22"/>
      <c r="L176" s="22"/>
      <c r="M176" s="22"/>
      <c r="N176" s="22"/>
      <c r="O176" s="22"/>
    </row>
    <row r="177" spans="10:15" x14ac:dyDescent="0.25">
      <c r="J177" s="9"/>
      <c r="K177" s="22"/>
      <c r="L177" s="22"/>
      <c r="M177" s="22"/>
      <c r="N177" s="22"/>
      <c r="O177" s="22"/>
    </row>
    <row r="178" spans="10:15" x14ac:dyDescent="0.25">
      <c r="J178" s="9"/>
      <c r="K178" s="22"/>
      <c r="L178" s="22"/>
      <c r="M178" s="22"/>
      <c r="N178" s="22"/>
      <c r="O178" s="22"/>
    </row>
    <row r="179" spans="10:15" x14ac:dyDescent="0.25">
      <c r="J179" s="9"/>
      <c r="K179" s="22"/>
      <c r="L179" s="22"/>
      <c r="M179" s="22"/>
      <c r="N179" s="22"/>
      <c r="O179" s="22"/>
    </row>
    <row r="180" spans="10:15" x14ac:dyDescent="0.25">
      <c r="J180" s="9"/>
      <c r="K180" s="22"/>
      <c r="L180" s="22"/>
      <c r="M180" s="22"/>
      <c r="N180" s="22"/>
      <c r="O180" s="22"/>
    </row>
    <row r="181" spans="10:15" x14ac:dyDescent="0.25">
      <c r="J181" s="9"/>
      <c r="K181" s="22"/>
      <c r="L181" s="22"/>
      <c r="M181" s="22"/>
      <c r="N181" s="22"/>
      <c r="O181" s="22"/>
    </row>
    <row r="182" spans="10:15" x14ac:dyDescent="0.25">
      <c r="J182" s="9"/>
      <c r="K182" s="22"/>
      <c r="L182" s="22"/>
      <c r="M182" s="22"/>
      <c r="N182" s="22"/>
      <c r="O182" s="22"/>
    </row>
    <row r="183" spans="10:15" x14ac:dyDescent="0.25">
      <c r="J183" s="9"/>
      <c r="K183" s="22"/>
      <c r="L183" s="22"/>
      <c r="M183" s="22"/>
      <c r="N183" s="22"/>
      <c r="O183" s="22"/>
    </row>
    <row r="184" spans="10:15" x14ac:dyDescent="0.25">
      <c r="J184" s="9"/>
      <c r="K184" s="22"/>
      <c r="L184" s="22"/>
      <c r="M184" s="22"/>
      <c r="N184" s="22"/>
      <c r="O184" s="22"/>
    </row>
    <row r="185" spans="10:15" x14ac:dyDescent="0.25">
      <c r="J185" s="9"/>
      <c r="K185" s="22"/>
      <c r="L185" s="22"/>
      <c r="M185" s="22"/>
      <c r="N185" s="22"/>
      <c r="O185" s="22"/>
    </row>
    <row r="186" spans="10:15" x14ac:dyDescent="0.25">
      <c r="J186" s="9"/>
      <c r="K186" s="22"/>
      <c r="L186" s="22"/>
      <c r="M186" s="22"/>
      <c r="N186" s="22"/>
      <c r="O186" s="22"/>
    </row>
    <row r="187" spans="10:15" x14ac:dyDescent="0.25">
      <c r="J187" s="9"/>
      <c r="K187" s="22"/>
      <c r="L187" s="22"/>
      <c r="M187" s="22"/>
      <c r="N187" s="22"/>
      <c r="O187" s="22"/>
    </row>
    <row r="188" spans="10:15" x14ac:dyDescent="0.25">
      <c r="J188" s="9"/>
      <c r="K188" s="22"/>
      <c r="L188" s="22"/>
      <c r="M188" s="22"/>
      <c r="N188" s="22"/>
      <c r="O188" s="22"/>
    </row>
    <row r="189" spans="10:15" x14ac:dyDescent="0.25">
      <c r="J189" s="9"/>
      <c r="K189" s="22"/>
      <c r="L189" s="22"/>
      <c r="M189" s="22"/>
      <c r="N189" s="22"/>
      <c r="O189" s="22"/>
    </row>
    <row r="190" spans="10:15" x14ac:dyDescent="0.25">
      <c r="J190" s="9"/>
      <c r="K190" s="22"/>
      <c r="L190" s="22"/>
      <c r="M190" s="22"/>
      <c r="N190" s="22"/>
      <c r="O190" s="22"/>
    </row>
    <row r="191" spans="10:15" x14ac:dyDescent="0.25">
      <c r="J191" s="9"/>
      <c r="K191" s="22"/>
      <c r="L191" s="22"/>
      <c r="M191" s="22"/>
      <c r="N191" s="22"/>
      <c r="O191" s="22"/>
    </row>
    <row r="192" spans="10:15" x14ac:dyDescent="0.25">
      <c r="J192" s="9"/>
      <c r="K192" s="22"/>
      <c r="L192" s="22"/>
      <c r="M192" s="22"/>
      <c r="N192" s="22"/>
      <c r="O192" s="22"/>
    </row>
    <row r="193" spans="10:15" x14ac:dyDescent="0.25">
      <c r="J193" s="9"/>
      <c r="K193" s="22"/>
      <c r="L193" s="22"/>
      <c r="M193" s="22"/>
      <c r="N193" s="22"/>
      <c r="O193" s="22"/>
    </row>
    <row r="194" spans="10:15" x14ac:dyDescent="0.25">
      <c r="J194" s="9"/>
      <c r="K194" s="22"/>
      <c r="L194" s="22"/>
      <c r="M194" s="22"/>
      <c r="N194" s="22"/>
      <c r="O194" s="22"/>
    </row>
    <row r="195" spans="10:15" x14ac:dyDescent="0.25">
      <c r="J195" s="9"/>
      <c r="K195" s="22"/>
      <c r="L195" s="22"/>
      <c r="M195" s="22"/>
      <c r="N195" s="22"/>
      <c r="O195" s="22"/>
    </row>
    <row r="196" spans="10:15" x14ac:dyDescent="0.25">
      <c r="J196" s="9"/>
      <c r="K196" s="22"/>
      <c r="L196" s="22"/>
      <c r="M196" s="22"/>
      <c r="N196" s="22"/>
      <c r="O196" s="22"/>
    </row>
    <row r="197" spans="10:15" x14ac:dyDescent="0.25">
      <c r="J197" s="9"/>
      <c r="K197" s="22"/>
      <c r="L197" s="22"/>
      <c r="M197" s="22"/>
      <c r="N197" s="22"/>
      <c r="O197" s="22"/>
    </row>
    <row r="198" spans="10:15" x14ac:dyDescent="0.25">
      <c r="J198" s="9"/>
      <c r="K198" s="22"/>
      <c r="L198" s="22"/>
      <c r="M198" s="22"/>
      <c r="N198" s="22"/>
      <c r="O198" s="22"/>
    </row>
    <row r="199" spans="10:15" x14ac:dyDescent="0.25">
      <c r="J199" s="9"/>
      <c r="K199" s="22"/>
      <c r="L199" s="22"/>
      <c r="M199" s="22"/>
      <c r="N199" s="22"/>
      <c r="O199" s="22"/>
    </row>
    <row r="200" spans="10:15" x14ac:dyDescent="0.25">
      <c r="J200" s="9"/>
      <c r="K200" s="22"/>
      <c r="L200" s="22"/>
      <c r="M200" s="22"/>
      <c r="N200" s="22"/>
      <c r="O200" s="22"/>
    </row>
    <row r="201" spans="10:15" x14ac:dyDescent="0.25">
      <c r="J201" s="9"/>
      <c r="K201" s="22"/>
      <c r="L201" s="22"/>
      <c r="M201" s="22"/>
      <c r="N201" s="22"/>
      <c r="O201" s="22"/>
    </row>
    <row r="202" spans="10:15" x14ac:dyDescent="0.25">
      <c r="J202" s="9"/>
      <c r="K202" s="22"/>
      <c r="L202" s="22"/>
      <c r="M202" s="22"/>
      <c r="N202" s="22"/>
      <c r="O202" s="22"/>
    </row>
    <row r="203" spans="10:15" x14ac:dyDescent="0.25">
      <c r="J203" s="9"/>
      <c r="K203" s="22"/>
      <c r="L203" s="22"/>
      <c r="M203" s="22"/>
      <c r="N203" s="22"/>
      <c r="O203" s="22"/>
    </row>
    <row r="204" spans="10:15" x14ac:dyDescent="0.25">
      <c r="J204" s="9"/>
      <c r="K204" s="22"/>
      <c r="L204" s="22"/>
      <c r="M204" s="22"/>
      <c r="N204" s="22"/>
      <c r="O204" s="22"/>
    </row>
    <row r="205" spans="10:15" x14ac:dyDescent="0.25">
      <c r="J205" s="9"/>
      <c r="K205" s="22"/>
      <c r="L205" s="22"/>
      <c r="M205" s="22"/>
      <c r="N205" s="22"/>
      <c r="O205" s="22"/>
    </row>
    <row r="206" spans="10:15" x14ac:dyDescent="0.25">
      <c r="J206" s="9"/>
      <c r="K206" s="22"/>
      <c r="L206" s="22"/>
      <c r="M206" s="22"/>
      <c r="N206" s="22"/>
      <c r="O206" s="22"/>
    </row>
    <row r="207" spans="10:15" x14ac:dyDescent="0.25">
      <c r="J207" s="9"/>
      <c r="K207" s="22"/>
      <c r="L207" s="22"/>
      <c r="M207" s="22"/>
      <c r="N207" s="22"/>
      <c r="O207" s="22"/>
    </row>
    <row r="208" spans="10:15" x14ac:dyDescent="0.25">
      <c r="J208" s="9"/>
      <c r="K208" s="22"/>
      <c r="L208" s="22"/>
      <c r="M208" s="22"/>
      <c r="N208" s="22"/>
      <c r="O208" s="22"/>
    </row>
    <row r="209" spans="10:15" x14ac:dyDescent="0.25">
      <c r="J209" s="9"/>
      <c r="K209" s="22"/>
      <c r="L209" s="22"/>
      <c r="M209" s="22"/>
      <c r="N209" s="22"/>
      <c r="O209" s="22"/>
    </row>
    <row r="210" spans="10:15" x14ac:dyDescent="0.25">
      <c r="J210" s="9"/>
      <c r="K210" s="22"/>
      <c r="L210" s="22"/>
      <c r="M210" s="22"/>
      <c r="N210" s="22"/>
      <c r="O210" s="22"/>
    </row>
    <row r="211" spans="10:15" x14ac:dyDescent="0.25">
      <c r="J211" s="9"/>
      <c r="K211" s="22"/>
      <c r="L211" s="22"/>
      <c r="M211" s="22"/>
      <c r="N211" s="22"/>
      <c r="O211" s="22"/>
    </row>
    <row r="212" spans="10:15" x14ac:dyDescent="0.25">
      <c r="J212" s="9"/>
      <c r="K212" s="22"/>
      <c r="L212" s="22"/>
      <c r="M212" s="22"/>
      <c r="N212" s="22"/>
      <c r="O212" s="22"/>
    </row>
    <row r="213" spans="10:15" x14ac:dyDescent="0.25">
      <c r="J213" s="9"/>
      <c r="K213" s="22"/>
      <c r="L213" s="22"/>
      <c r="M213" s="22"/>
      <c r="N213" s="22"/>
      <c r="O213" s="22"/>
    </row>
    <row r="214" spans="10:15" x14ac:dyDescent="0.25">
      <c r="J214" s="9"/>
      <c r="K214" s="22"/>
      <c r="L214" s="22"/>
      <c r="M214" s="22"/>
      <c r="N214" s="22"/>
      <c r="O214" s="22"/>
    </row>
    <row r="215" spans="10:15" x14ac:dyDescent="0.25">
      <c r="J215" s="9"/>
      <c r="K215" s="22"/>
      <c r="L215" s="22"/>
      <c r="M215" s="22"/>
      <c r="N215" s="22"/>
      <c r="O215" s="22"/>
    </row>
    <row r="216" spans="10:15" x14ac:dyDescent="0.25">
      <c r="J216" s="9"/>
      <c r="K216" s="22"/>
      <c r="L216" s="22"/>
      <c r="M216" s="22"/>
      <c r="N216" s="22"/>
      <c r="O216" s="22"/>
    </row>
    <row r="217" spans="10:15" x14ac:dyDescent="0.25">
      <c r="J217" s="9"/>
      <c r="K217" s="22"/>
      <c r="L217" s="22"/>
      <c r="M217" s="22"/>
      <c r="N217" s="22"/>
      <c r="O217" s="22"/>
    </row>
    <row r="218" spans="10:15" x14ac:dyDescent="0.25">
      <c r="J218" s="9"/>
      <c r="K218" s="22"/>
      <c r="L218" s="22"/>
      <c r="M218" s="22"/>
      <c r="N218" s="22"/>
      <c r="O218" s="22"/>
    </row>
    <row r="219" spans="10:15" x14ac:dyDescent="0.25">
      <c r="J219" s="9"/>
      <c r="K219" s="22"/>
      <c r="L219" s="22"/>
      <c r="M219" s="22"/>
      <c r="N219" s="22"/>
      <c r="O219" s="22"/>
    </row>
    <row r="220" spans="10:15" x14ac:dyDescent="0.25">
      <c r="J220" s="9"/>
      <c r="K220" s="22"/>
      <c r="L220" s="22"/>
      <c r="M220" s="22"/>
      <c r="N220" s="22"/>
      <c r="O220" s="22"/>
    </row>
    <row r="221" spans="10:15" x14ac:dyDescent="0.25">
      <c r="J221" s="9"/>
      <c r="K221" s="22"/>
      <c r="L221" s="22"/>
      <c r="M221" s="22"/>
      <c r="N221" s="22"/>
      <c r="O221" s="22"/>
    </row>
    <row r="222" spans="10:15" x14ac:dyDescent="0.25">
      <c r="J222" s="9"/>
      <c r="K222" s="22"/>
      <c r="L222" s="22"/>
      <c r="M222" s="22"/>
      <c r="N222" s="22"/>
      <c r="O222" s="22"/>
    </row>
    <row r="223" spans="10:15" x14ac:dyDescent="0.25">
      <c r="J223" s="9"/>
      <c r="K223" s="22"/>
      <c r="L223" s="22"/>
      <c r="M223" s="22"/>
      <c r="N223" s="22"/>
      <c r="O223" s="22"/>
    </row>
    <row r="224" spans="10:15" x14ac:dyDescent="0.25">
      <c r="J224" s="9"/>
      <c r="K224" s="22"/>
      <c r="L224" s="22"/>
      <c r="M224" s="22"/>
      <c r="N224" s="22"/>
      <c r="O224" s="22"/>
    </row>
    <row r="225" spans="10:15" x14ac:dyDescent="0.25">
      <c r="J225" s="9"/>
      <c r="K225" s="22"/>
      <c r="L225" s="22"/>
      <c r="M225" s="22"/>
      <c r="N225" s="22"/>
      <c r="O225" s="22"/>
    </row>
    <row r="226" spans="10:15" x14ac:dyDescent="0.25">
      <c r="J226" s="9"/>
      <c r="K226" s="22"/>
      <c r="L226" s="22"/>
      <c r="M226" s="22"/>
      <c r="N226" s="22"/>
      <c r="O226" s="22"/>
    </row>
  </sheetData>
  <autoFilter ref="A1:O84" xr:uid="{712C3E9D-2B7F-4856-B0C2-A8369516A0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Totaal</vt:lpstr>
      <vt:lpstr>Afgeronde projecten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Merel klein Haarhuis</dc:creator>
  <cp:lastModifiedBy>Merel Klein Haarhuis</cp:lastModifiedBy>
  <dcterms:created xsi:type="dcterms:W3CDTF">2024-01-12T10:40:16Z</dcterms:created>
  <dcterms:modified xsi:type="dcterms:W3CDTF">2026-03-05T09:30:17Z</dcterms:modified>
</cp:coreProperties>
</file>
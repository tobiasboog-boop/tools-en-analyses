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DutourGeerlin\Downloads\"/>
    </mc:Choice>
  </mc:AlternateContent>
  <xr:revisionPtr revIDLastSave="0" documentId="13_ncr:1_{870589BA-3FD8-4B5F-AE04-516DBCCEECB6}" xr6:coauthVersionLast="47" xr6:coauthVersionMax="47" xr10:uidLastSave="{00000000-0000-0000-0000-000000000000}"/>
  <bookViews>
    <workbookView xWindow="-28920" yWindow="-120" windowWidth="29040" windowHeight="15720" xr2:uid="{B3696C84-6B8B-453C-BCE4-A6CF60722DCE}"/>
  </bookViews>
  <sheets>
    <sheet name="Blad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1" l="1"/>
  <c r="W2" i="1"/>
  <c r="V3" i="1"/>
  <c r="V2" i="1"/>
  <c r="AJ3" i="1"/>
  <c r="AH3" i="1"/>
  <c r="AB3" i="1"/>
  <c r="AF3" i="1" s="1"/>
  <c r="Y3" i="1"/>
  <c r="X3" i="1"/>
  <c r="W3" i="1"/>
  <c r="AJ2" i="1"/>
  <c r="AB2" i="1"/>
  <c r="AF2" i="1" s="1"/>
  <c r="Y2" i="1"/>
  <c r="X2" i="1"/>
  <c r="Z3" i="1" l="1"/>
  <c r="AC3" i="1" s="1"/>
  <c r="AA3" i="1"/>
  <c r="AD3" i="1" s="1"/>
  <c r="AA2" i="1"/>
  <c r="AD2" i="1" s="1"/>
  <c r="Z2" i="1"/>
  <c r="AC2" i="1" s="1"/>
  <c r="AE2" i="1"/>
  <c r="AE3" i="1"/>
  <c r="AG3" i="1" s="1"/>
  <c r="AG2" i="1" l="1"/>
</calcChain>
</file>

<file path=xl/sharedStrings.xml><?xml version="1.0" encoding="utf-8"?>
<sst xmlns="http://schemas.openxmlformats.org/spreadsheetml/2006/main" count="93" uniqueCount="78">
  <si>
    <t>WB260224</t>
  </si>
  <si>
    <t>Store</t>
  </si>
  <si>
    <t>Camera</t>
  </si>
  <si>
    <t>Nee</t>
  </si>
  <si>
    <t>Urgent</t>
  </si>
  <si>
    <t>Carlo</t>
  </si>
  <si>
    <t>WB260385</t>
  </si>
  <si>
    <t>Coolblue Winkel Olen</t>
  </si>
  <si>
    <t>IP adressen moeten aangepast worden</t>
  </si>
  <si>
    <t>Inbraak</t>
  </si>
  <si>
    <t>Low</t>
  </si>
  <si>
    <t>Ricardo</t>
  </si>
  <si>
    <t>Werkbon nummer</t>
  </si>
  <si>
    <t>Gerelateerde werkbon</t>
  </si>
  <si>
    <t>Datum aanmaak</t>
  </si>
  <si>
    <t>Tijd aanmaak</t>
  </si>
  <si>
    <t>Locatie naam</t>
  </si>
  <si>
    <t>Storing omschrijving</t>
  </si>
  <si>
    <t>Locatie soort</t>
  </si>
  <si>
    <t>Installatie soort</t>
  </si>
  <si>
    <t>Onderaannemer</t>
  </si>
  <si>
    <t>Welke onderaannemer? (indien bekend)</t>
  </si>
  <si>
    <t>Prio volgens SLA</t>
  </si>
  <si>
    <t>Reactie datum</t>
  </si>
  <si>
    <t>Reactie tijd</t>
  </si>
  <si>
    <t>Contact CB</t>
  </si>
  <si>
    <t>Prio na overleg CB</t>
  </si>
  <si>
    <t>Datum oplossing</t>
  </si>
  <si>
    <t>Tijd oplossing</t>
  </si>
  <si>
    <t>Geannuleerd?</t>
  </si>
  <si>
    <t>Toelichting</t>
  </si>
  <si>
    <t>Ouderdom systeem</t>
  </si>
  <si>
    <t>Maand</t>
  </si>
  <si>
    <t>aanmaak d+t</t>
  </si>
  <si>
    <t>reactie d+t</t>
  </si>
  <si>
    <t>response d+t</t>
  </si>
  <si>
    <t>reactietijd</t>
  </si>
  <si>
    <t>response tijd</t>
  </si>
  <si>
    <t>Prio</t>
  </si>
  <si>
    <t>reasponsetijd uren</t>
  </si>
  <si>
    <t>restoretijd uren</t>
  </si>
  <si>
    <t>KPI response</t>
  </si>
  <si>
    <t>KPI restore</t>
  </si>
  <si>
    <t>SLA response</t>
  </si>
  <si>
    <t>SLA restore</t>
  </si>
  <si>
    <t>responsetijd range</t>
  </si>
  <si>
    <t>Dag binnenkomst</t>
  </si>
  <si>
    <t>Toelichting bij Niet Behaald</t>
  </si>
  <si>
    <t xml:space="preserve">Coolblue Winkel Rotterdam </t>
  </si>
  <si>
    <t>Camera ... lijkt op te nemen op motion</t>
  </si>
  <si>
    <t xml:space="preserve">Onderzoek gedaan door CB IT. </t>
  </si>
  <si>
    <t xml:space="preserve">Wij kregen via de meldkamer door dat er geen verbinding meer was. Wij hebben toen contact opgenomen met de winkel maar die was niet bereikbaar. </t>
  </si>
  <si>
    <t>Syntess veld: 
Nummer</t>
  </si>
  <si>
    <t>Syntess veld: 
Gekoppelde werkbonnen</t>
  </si>
  <si>
    <t>Syntess veld: 
Melddatum
in details werkbon</t>
  </si>
  <si>
    <t>Syntess veld: 
Meldtijd
in details werkbon</t>
  </si>
  <si>
    <t>Syntess veld: 
Relatienaam 
in details werkbon</t>
  </si>
  <si>
    <t>Titel</t>
  </si>
  <si>
    <t>camera 128 kabel nazien - Coolblue Winkel Rotterdam Hoogstraat</t>
  </si>
  <si>
    <t>Syntess veld: 
Titel
in details werkbon</t>
  </si>
  <si>
    <t>Syntess veld: 
Regels
Paragraaf
Werkbeschrijving</t>
  </si>
  <si>
    <t>Syntess veld: 
Object
objectsoort</t>
  </si>
  <si>
    <t>Syntess veld: 
Regels
paragraaf
installatieomschrijving</t>
  </si>
  <si>
    <t>Syntess veld: 
Details 
onderaannemer</t>
  </si>
  <si>
    <t>Syntess veld: 
Details 
Prioriteit</t>
  </si>
  <si>
    <t>Syntess veld: 
Externe notitie
Tijdstempel</t>
  </si>
  <si>
    <t>Syntess veld: 
Zijn 2 velden 
Details
Meldpersoon en 
Contactpersoon</t>
  </si>
  <si>
    <t xml:space="preserve">Syntess veld: 
Externe notitie
</t>
  </si>
  <si>
    <t>Syntess veld:
Uitvoersessies
Datum</t>
  </si>
  <si>
    <t>Syntess veld:
Uitvoersessies
Tijd</t>
  </si>
  <si>
    <t>Syntess veld:
Werkbonnen
Status (Vervallen)</t>
  </si>
  <si>
    <t xml:space="preserve">Syntess veld:
Details
Notitie
</t>
  </si>
  <si>
    <t>Syntess veld: 
Aangemaakt</t>
  </si>
  <si>
    <t>Syntess veld: 
Externe notitie</t>
  </si>
  <si>
    <t>Syntess veld:
Details
Prioriteit</t>
  </si>
  <si>
    <t>Rekenveld</t>
  </si>
  <si>
    <t>Syntess veld:
Contract</t>
  </si>
  <si>
    <t>Syntess veld:
Object Installatie 
Plaatsingsdatum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</si>
</sst>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h:mm;@"/>
    <numFmt numFmtId="165" formatCode="[$-F800]dddd\,\ mmmm\ dd\,\ yyyy"/>
    <numFmt numFmtId="166" formatCode="dd:hh:mm:ss.0;@"/>
    <numFmt numFmtId="167" formatCode="#,##0_ ;\-#,##0\ "/>
    <numFmt numFmtId="168" formatCode="ddd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 applyAlignment="1">
      <alignment vertical="top" wrapText="1"/>
    </xf>
    <xf numFmtId="14" fontId="0" fillId="2" borderId="0" xfId="0" applyNumberFormat="1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top"/>
    </xf>
    <xf numFmtId="165" fontId="0" fillId="2" borderId="0" xfId="0" applyNumberFormat="1" applyFill="1" applyAlignment="1">
      <alignment vertical="top"/>
    </xf>
    <xf numFmtId="166" fontId="0" fillId="2" borderId="0" xfId="0" applyNumberFormat="1" applyFill="1" applyAlignment="1">
      <alignment vertical="top"/>
    </xf>
    <xf numFmtId="167" fontId="2" fillId="2" borderId="0" xfId="1" applyNumberFormat="1" applyFont="1" applyFill="1" applyAlignment="1">
      <alignment horizontal="center" vertical="top"/>
    </xf>
    <xf numFmtId="167" fontId="2" fillId="2" borderId="0" xfId="1" applyNumberFormat="1" applyFont="1" applyFill="1" applyAlignment="1">
      <alignment vertical="top"/>
    </xf>
    <xf numFmtId="168" fontId="0" fillId="2" borderId="0" xfId="0" applyNumberFormat="1" applyFill="1" applyAlignment="1">
      <alignment horizontal="center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7" fontId="2" fillId="0" borderId="0" xfId="1" applyNumberFormat="1" applyFont="1" applyAlignment="1">
      <alignment horizontal="center" vertical="top"/>
    </xf>
    <xf numFmtId="167" fontId="2" fillId="0" borderId="0" xfId="1" applyNumberFormat="1" applyFont="1" applyAlignment="1">
      <alignment vertical="top"/>
    </xf>
    <xf numFmtId="168" fontId="0" fillId="0" borderId="0" xfId="0" applyNumberFormat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zenithsecurity.sharepoint.com/sites/Kantoor/Shared%20Documents/Servicedesk/Coolblue/Storingslijst.xlsx" TargetMode="External"/><Relationship Id="rId1" Type="http://schemas.openxmlformats.org/officeDocument/2006/relationships/externalLinkPath" Target="https://zenithsecurity.sharepoint.com/sites/Kantoor/Shared%20Documents/Servicedesk/Coolblue/Storingslij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ringslijst"/>
      <sheetName val="grafisch"/>
      <sheetName val="Locaties"/>
      <sheetName val="Analyse"/>
      <sheetName val="Classificatie"/>
      <sheetName val="Blad4"/>
    </sheetNames>
    <sheetDataSet>
      <sheetData sheetId="0"/>
      <sheetData sheetId="1"/>
      <sheetData sheetId="2"/>
      <sheetData sheetId="3"/>
      <sheetData sheetId="4">
        <row r="2">
          <cell r="B2" t="str">
            <v>Urgent</v>
          </cell>
          <cell r="D2">
            <v>1</v>
          </cell>
        </row>
        <row r="3">
          <cell r="B3" t="str">
            <v>Medium</v>
          </cell>
          <cell r="D3">
            <v>2</v>
          </cell>
        </row>
        <row r="4">
          <cell r="B4" t="str">
            <v>Low</v>
          </cell>
          <cell r="D4">
            <v>3</v>
          </cell>
        </row>
        <row r="5">
          <cell r="B5" t="str">
            <v>Geen SLA</v>
          </cell>
          <cell r="C5" t="str">
            <v>(wel geinstalleerd, geen SLA)</v>
          </cell>
          <cell r="D5">
            <v>4</v>
          </cell>
        </row>
        <row r="6">
          <cell r="B6" t="str">
            <v xml:space="preserve">Geen contract </v>
          </cell>
          <cell r="C6" t="str">
            <v>(ondersteuning SD, geen contract)</v>
          </cell>
          <cell r="D6">
            <v>5</v>
          </cell>
        </row>
        <row r="29">
          <cell r="A29" t="str">
            <v>Warehouse</v>
          </cell>
          <cell r="B29">
            <v>4</v>
          </cell>
          <cell r="C29">
            <v>12</v>
          </cell>
          <cell r="D29" t="str">
            <v>nbd</v>
          </cell>
          <cell r="E29" t="str">
            <v>be</v>
          </cell>
          <cell r="F29" t="str">
            <v>be</v>
          </cell>
        </row>
        <row r="30">
          <cell r="A30" t="str">
            <v>Store</v>
          </cell>
          <cell r="B30">
            <v>12</v>
          </cell>
          <cell r="C30" t="str">
            <v>kan niet</v>
          </cell>
          <cell r="D30" t="str">
            <v>nbd</v>
          </cell>
          <cell r="E30" t="str">
            <v>be</v>
          </cell>
          <cell r="F30" t="str">
            <v>be</v>
          </cell>
        </row>
        <row r="31">
          <cell r="A31" t="str">
            <v>Depot</v>
          </cell>
          <cell r="B31">
            <v>12</v>
          </cell>
          <cell r="C31" t="str">
            <v>kan niet</v>
          </cell>
          <cell r="D31" t="str">
            <v>nbd</v>
          </cell>
          <cell r="E31" t="str">
            <v>be</v>
          </cell>
          <cell r="F31" t="str">
            <v>be</v>
          </cell>
        </row>
        <row r="32">
          <cell r="A32" t="str">
            <v>Fietshub</v>
          </cell>
          <cell r="B32">
            <v>24</v>
          </cell>
          <cell r="C32" t="str">
            <v>kan niet</v>
          </cell>
          <cell r="D32" t="str">
            <v>nbd</v>
          </cell>
          <cell r="E32" t="str">
            <v>be</v>
          </cell>
          <cell r="F32" t="str">
            <v>be</v>
          </cell>
        </row>
        <row r="33">
          <cell r="A33" t="str">
            <v>Office</v>
          </cell>
          <cell r="B33">
            <v>12</v>
          </cell>
          <cell r="C33" t="str">
            <v>kan niet</v>
          </cell>
          <cell r="D33" t="str">
            <v>nbd</v>
          </cell>
          <cell r="E33" t="str">
            <v>be</v>
          </cell>
          <cell r="F33" t="str">
            <v>be</v>
          </cell>
        </row>
        <row r="36">
          <cell r="A36" t="str">
            <v>Warehouse</v>
          </cell>
          <cell r="B36">
            <v>12</v>
          </cell>
          <cell r="C36" t="str">
            <v>nbd</v>
          </cell>
          <cell r="D36" t="str">
            <v>be</v>
          </cell>
          <cell r="E36" t="str">
            <v>be</v>
          </cell>
          <cell r="F36" t="str">
            <v>be</v>
          </cell>
        </row>
        <row r="37">
          <cell r="A37" t="str">
            <v>Store</v>
          </cell>
          <cell r="B37">
            <v>24</v>
          </cell>
          <cell r="C37" t="str">
            <v>nbd</v>
          </cell>
          <cell r="D37" t="str">
            <v>nbd</v>
          </cell>
          <cell r="E37" t="str">
            <v>be</v>
          </cell>
          <cell r="F37" t="str">
            <v>be</v>
          </cell>
        </row>
        <row r="38">
          <cell r="A38" t="str">
            <v>Depot</v>
          </cell>
          <cell r="B38">
            <v>24</v>
          </cell>
          <cell r="C38" t="str">
            <v>nbd</v>
          </cell>
          <cell r="D38" t="str">
            <v>nbd</v>
          </cell>
          <cell r="E38" t="str">
            <v>be</v>
          </cell>
          <cell r="F38" t="str">
            <v>be</v>
          </cell>
        </row>
        <row r="39">
          <cell r="A39" t="str">
            <v>Fietshub</v>
          </cell>
          <cell r="B39" t="str">
            <v>be</v>
          </cell>
          <cell r="C39" t="str">
            <v>be</v>
          </cell>
          <cell r="D39" t="str">
            <v>be</v>
          </cell>
          <cell r="E39" t="str">
            <v>be</v>
          </cell>
          <cell r="F39" t="str">
            <v>be</v>
          </cell>
        </row>
        <row r="40">
          <cell r="A40" t="str">
            <v>Office</v>
          </cell>
          <cell r="B40">
            <v>24</v>
          </cell>
          <cell r="C40">
            <v>24</v>
          </cell>
          <cell r="D40" t="str">
            <v>nbd</v>
          </cell>
          <cell r="E40" t="str">
            <v>be</v>
          </cell>
          <cell r="F40" t="str">
            <v>be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B543-E52D-4E6C-924C-DA718DF0AF03}">
  <dimension ref="A1:AK4"/>
  <sheetViews>
    <sheetView tabSelected="1" workbookViewId="0">
      <selection activeCell="V4" sqref="V4"/>
    </sheetView>
  </sheetViews>
  <sheetFormatPr defaultRowHeight="15" x14ac:dyDescent="0.25"/>
  <cols>
    <col min="1" max="1" width="13.42578125" customWidth="1"/>
    <col min="2" max="2" width="14.140625" customWidth="1"/>
    <col min="3" max="3" width="10.85546875" customWidth="1"/>
    <col min="4" max="4" width="10.5703125" customWidth="1"/>
    <col min="5" max="6" width="14.140625" customWidth="1"/>
    <col min="7" max="7" width="35.85546875" bestFit="1" customWidth="1"/>
    <col min="8" max="8" width="13.28515625" customWidth="1"/>
    <col min="9" max="9" width="19.28515625" customWidth="1"/>
    <col min="10" max="10" width="16.42578125" customWidth="1"/>
    <col min="11" max="11" width="17.7109375" customWidth="1"/>
    <col min="12" max="12" width="12.5703125" customWidth="1"/>
    <col min="13" max="13" width="13" customWidth="1"/>
    <col min="14" max="14" width="14.85546875" customWidth="1"/>
    <col min="15" max="15" width="14.140625" customWidth="1"/>
    <col min="16" max="16" width="11.5703125" customWidth="1"/>
    <col min="17" max="17" width="14" customWidth="1"/>
    <col min="18" max="18" width="14.140625" customWidth="1"/>
    <col min="19" max="19" width="14.28515625" customWidth="1"/>
    <col min="20" max="20" width="37.42578125" customWidth="1"/>
    <col min="21" max="21" width="18.42578125" customWidth="1"/>
    <col min="22" max="22" width="10.140625" bestFit="1" customWidth="1"/>
    <col min="23" max="24" width="22.28515625" bestFit="1" customWidth="1"/>
    <col min="25" max="25" width="24.140625" bestFit="1" customWidth="1"/>
    <col min="26" max="27" width="12.28515625" bestFit="1" customWidth="1"/>
    <col min="28" max="28" width="13.5703125" customWidth="1"/>
    <col min="29" max="29" width="15" customWidth="1"/>
    <col min="30" max="30" width="13" customWidth="1"/>
    <col min="31" max="31" width="10.28515625" customWidth="1"/>
    <col min="32" max="32" width="9" customWidth="1"/>
    <col min="33" max="34" width="10.140625" bestFit="1" customWidth="1"/>
    <col min="35" max="35" width="13" customWidth="1"/>
    <col min="36" max="36" width="13.85546875" customWidth="1"/>
    <col min="37" max="37" width="14.5703125" customWidth="1"/>
  </cols>
  <sheetData>
    <row r="1" spans="1:37" ht="48" thickBot="1" x14ac:dyDescent="0.3">
      <c r="A1" s="21" t="s">
        <v>12</v>
      </c>
      <c r="B1" s="21" t="s">
        <v>13</v>
      </c>
      <c r="C1" s="21" t="s">
        <v>14</v>
      </c>
      <c r="D1" s="21" t="s">
        <v>15</v>
      </c>
      <c r="E1" s="21" t="s">
        <v>16</v>
      </c>
      <c r="F1" s="21" t="s">
        <v>57</v>
      </c>
      <c r="G1" s="21" t="s">
        <v>17</v>
      </c>
      <c r="H1" s="21" t="s">
        <v>18</v>
      </c>
      <c r="I1" s="21" t="s">
        <v>19</v>
      </c>
      <c r="J1" s="21" t="s">
        <v>20</v>
      </c>
      <c r="K1" s="21" t="s">
        <v>21</v>
      </c>
      <c r="L1" s="21" t="s">
        <v>22</v>
      </c>
      <c r="M1" s="21" t="s">
        <v>23</v>
      </c>
      <c r="N1" s="21" t="s">
        <v>24</v>
      </c>
      <c r="O1" s="21" t="s">
        <v>25</v>
      </c>
      <c r="P1" s="21" t="s">
        <v>26</v>
      </c>
      <c r="Q1" s="21" t="s">
        <v>27</v>
      </c>
      <c r="R1" s="21" t="s">
        <v>28</v>
      </c>
      <c r="S1" s="21" t="s">
        <v>29</v>
      </c>
      <c r="T1" s="21" t="s">
        <v>30</v>
      </c>
      <c r="U1" s="22" t="s">
        <v>31</v>
      </c>
      <c r="V1" s="21" t="s">
        <v>32</v>
      </c>
      <c r="W1" s="21" t="s">
        <v>33</v>
      </c>
      <c r="X1" s="21" t="s">
        <v>34</v>
      </c>
      <c r="Y1" s="21" t="s">
        <v>35</v>
      </c>
      <c r="Z1" s="21" t="s">
        <v>36</v>
      </c>
      <c r="AA1" s="21" t="s">
        <v>37</v>
      </c>
      <c r="AB1" s="22" t="s">
        <v>38</v>
      </c>
      <c r="AC1" s="21" t="s">
        <v>39</v>
      </c>
      <c r="AD1" s="21" t="s">
        <v>40</v>
      </c>
      <c r="AE1" s="22" t="s">
        <v>41</v>
      </c>
      <c r="AF1" s="22" t="s">
        <v>42</v>
      </c>
      <c r="AG1" s="22" t="s">
        <v>43</v>
      </c>
      <c r="AH1" s="22" t="s">
        <v>44</v>
      </c>
      <c r="AI1" s="23" t="s">
        <v>45</v>
      </c>
      <c r="AJ1" s="23" t="s">
        <v>46</v>
      </c>
      <c r="AK1" s="22" t="s">
        <v>47</v>
      </c>
    </row>
    <row r="2" spans="1:37" ht="90" x14ac:dyDescent="0.25">
      <c r="A2" s="1" t="s">
        <v>0</v>
      </c>
      <c r="B2" s="1"/>
      <c r="C2" s="2">
        <v>46031</v>
      </c>
      <c r="D2" s="3">
        <v>0.66041666666666665</v>
      </c>
      <c r="E2" s="1" t="s">
        <v>48</v>
      </c>
      <c r="F2" s="1" t="s">
        <v>58</v>
      </c>
      <c r="G2" s="1" t="s">
        <v>49</v>
      </c>
      <c r="H2" s="4" t="s">
        <v>1</v>
      </c>
      <c r="I2" s="4" t="s">
        <v>2</v>
      </c>
      <c r="J2" s="4" t="s">
        <v>3</v>
      </c>
      <c r="K2" s="4"/>
      <c r="L2" s="4" t="s">
        <v>4</v>
      </c>
      <c r="M2" s="2">
        <v>46031</v>
      </c>
      <c r="N2" s="3">
        <v>0.66319444444444442</v>
      </c>
      <c r="O2" s="3" t="s">
        <v>5</v>
      </c>
      <c r="P2" s="4" t="s">
        <v>4</v>
      </c>
      <c r="Q2" s="2">
        <v>46032</v>
      </c>
      <c r="R2" s="3">
        <v>0.41666666666666669</v>
      </c>
      <c r="S2" s="4" t="s">
        <v>3</v>
      </c>
      <c r="T2" s="1" t="s">
        <v>50</v>
      </c>
      <c r="U2" s="5"/>
      <c r="V2" s="4">
        <f>MONTH(M2)</f>
        <v>1</v>
      </c>
      <c r="W2" s="6">
        <f>C2+IF(ISBLANK(D2),1,D2)</f>
        <v>46031.660416666666</v>
      </c>
      <c r="X2" s="6">
        <f t="shared" ref="X2:X3" si="0">M2+IF(ISBLANK(N2),1,N2)</f>
        <v>46031.663194444445</v>
      </c>
      <c r="Y2" s="6">
        <f t="shared" ref="Y2:Y3" si="1">Q2+IF(ISBLANK(R2),1,R2)</f>
        <v>46032.416666666664</v>
      </c>
      <c r="Z2" s="7">
        <f t="shared" ref="Z2:Z3" si="2">X2-W2</f>
        <v>2.7777777795563452E-3</v>
      </c>
      <c r="AA2" s="7">
        <f t="shared" ref="AA2:AA3" si="3">Y2-W2</f>
        <v>0.75624999999854481</v>
      </c>
      <c r="AB2" s="8">
        <f>VLOOKUP(L2,[1]Classificatie!$B$2:$E$6,3,FALSE)</f>
        <v>1</v>
      </c>
      <c r="AC2" s="9">
        <f t="shared" ref="AC2:AD3" si="4">CEILING((MINUTE(Z2)+HOUR(Z2)*60+DAY(Z2)*24*60)/60,1)</f>
        <v>1</v>
      </c>
      <c r="AD2" s="9">
        <f t="shared" si="4"/>
        <v>19</v>
      </c>
      <c r="AE2" s="5">
        <f>VLOOKUP(H2,[1]Classificatie!$A$29:$F$33,(AB2+1),FALSE)</f>
        <v>12</v>
      </c>
      <c r="AF2" s="5">
        <f>VLOOKUP(H2,[1]Classificatie!$A$36:$F$40,(AB2+1),FALSE)</f>
        <v>24</v>
      </c>
      <c r="AG2" s="5" t="str">
        <f>IF(AE2="be","Behaald",IF(AE2="nbd",IF(OR(M2=C2,M2=WORKDAY([1]!Tabel1[[#This Row],[Datum aanmaak]],1)),"Behaald","Niet behaald"),IF((AE2-AC2)&gt;0,"Behaald","Niet behaald")))</f>
        <v>Behaald</v>
      </c>
      <c r="AH2" s="5" t="e">
        <f>IF([1]!Tabel1[[#This Row],[Geannuleerd?]]="Ja","Nvt",
 IF(AF2="be","Behaald",IF(ISBLANK(Q2),NA(),
  IF(AF2="nbd",
   IF(AND(ISNUMBER(Q2),ISNUMBER($C2)),
    IF(OR(Q2=C2,Q2=WORKDAY([1]!Tabel1[[#This Row],[Datum aanmaak]],1)),"Behaald","Niet behaald"),
    "Niet behaald"),
   IF(ISBLANK(AD2),NA(),
    IF(AND(ISNUMBER(AF2),ISNUMBER(AD2)),
     IF((AF2-AD2)&gt;0,"Behaald","Niet behaald"),
     "Niet behaald")
   )
  )
 ))
)</f>
        <v>#VALUE!</v>
      </c>
      <c r="AI2" s="5"/>
      <c r="AJ2" s="10" t="e">
        <f>WEEKDAY([1]!Tabel1[[#This Row],[Datum aanmaak]],1)</f>
        <v>#VALUE!</v>
      </c>
      <c r="AK2" s="5"/>
    </row>
    <row r="3" spans="1:37" ht="60" x14ac:dyDescent="0.25">
      <c r="A3" s="11" t="s">
        <v>6</v>
      </c>
      <c r="B3" s="11"/>
      <c r="C3" s="12">
        <v>46035</v>
      </c>
      <c r="D3" s="13">
        <v>0.64166666666666672</v>
      </c>
      <c r="E3" s="14" t="s">
        <v>7</v>
      </c>
      <c r="F3" s="14"/>
      <c r="G3" s="11" t="s">
        <v>8</v>
      </c>
      <c r="H3" s="11" t="s">
        <v>1</v>
      </c>
      <c r="I3" s="11" t="s">
        <v>9</v>
      </c>
      <c r="J3" s="11" t="s">
        <v>3</v>
      </c>
      <c r="K3" s="11"/>
      <c r="L3" s="11" t="s">
        <v>10</v>
      </c>
      <c r="M3" s="12">
        <v>46035</v>
      </c>
      <c r="N3" s="13">
        <v>0.64583333333333337</v>
      </c>
      <c r="O3" s="13" t="s">
        <v>11</v>
      </c>
      <c r="P3" s="11" t="s">
        <v>10</v>
      </c>
      <c r="Q3" s="12">
        <v>46036</v>
      </c>
      <c r="R3" s="13">
        <v>0.64583333333333337</v>
      </c>
      <c r="S3" s="11"/>
      <c r="T3" s="14" t="s">
        <v>51</v>
      </c>
      <c r="U3" s="15"/>
      <c r="V3" s="4">
        <f>MONTH(M3)</f>
        <v>1</v>
      </c>
      <c r="W3" s="16">
        <f t="shared" ref="W3" si="5">C3+IF(ISBLANK(D3),1,D3)</f>
        <v>46035.64166666667</v>
      </c>
      <c r="X3" s="16">
        <f t="shared" si="0"/>
        <v>46035.645833333336</v>
      </c>
      <c r="Y3" s="16">
        <f t="shared" si="1"/>
        <v>46036.645833333336</v>
      </c>
      <c r="Z3" s="17">
        <f t="shared" si="2"/>
        <v>4.166666665696539E-3</v>
      </c>
      <c r="AA3" s="17">
        <f t="shared" si="3"/>
        <v>1.0041666666656965</v>
      </c>
      <c r="AB3" s="18">
        <f>VLOOKUP(L3,[1]Classificatie!$B$2:$E$6,3,FALSE)</f>
        <v>3</v>
      </c>
      <c r="AC3" s="19">
        <f t="shared" si="4"/>
        <v>1</v>
      </c>
      <c r="AD3" s="19">
        <f t="shared" si="4"/>
        <v>25</v>
      </c>
      <c r="AE3" s="15" t="str">
        <f>VLOOKUP(H3,[1]Classificatie!$A$29:$F$33,(AB3+1),FALSE)</f>
        <v>nbd</v>
      </c>
      <c r="AF3" s="15" t="str">
        <f>VLOOKUP(H3,[1]Classificatie!$A$36:$F$40,(AB3+1),FALSE)</f>
        <v>nbd</v>
      </c>
      <c r="AG3" s="15" t="e">
        <f>IF(AE3="be","Behaald",IF(AE3="nbd",IF(OR(M3=C3,M3=WORKDAY([1]!Tabel1[[#This Row],[Datum aanmaak]],1)),"Behaald","Niet behaald"),IF((AE3-AC3)&gt;0,"Behaald","Niet behaald")))</f>
        <v>#VALUE!</v>
      </c>
      <c r="AH3" s="15" t="e">
        <f>IF([1]!Tabel1[[#This Row],[Geannuleerd?]]="Ja","Nvt",
 IF(AF3="be","Behaald",IF(ISBLANK(Q3),NA(),
  IF(AF3="nbd",
   IF(AND(ISNUMBER(Q3),ISNUMBER($C3)),
    IF(OR(Q3=C3,Q3=WORKDAY([1]!Tabel1[[#This Row],[Datum aanmaak]],1)),"Behaald","Niet behaald"),
    "Niet behaald"),
   IF(ISBLANK(AD3),NA(),
    IF(AND(ISNUMBER(AF3),ISNUMBER(AD3)),
     IF((AF3-AD3)&gt;0,"Behaald","Niet behaald"),
     "Niet behaald")
   )
  )
 ))
)</f>
        <v>#VALUE!</v>
      </c>
      <c r="AI3" s="15"/>
      <c r="AJ3" s="20" t="e">
        <f>WEEKDAY([1]!Tabel1[[#This Row],[Datum aanmaak]],1)</f>
        <v>#VALUE!</v>
      </c>
      <c r="AK3" s="15"/>
    </row>
    <row r="4" spans="1:37" ht="105" x14ac:dyDescent="0.25">
      <c r="A4" s="24" t="s">
        <v>52</v>
      </c>
      <c r="B4" s="24" t="s">
        <v>53</v>
      </c>
      <c r="C4" s="24" t="s">
        <v>54</v>
      </c>
      <c r="D4" s="24" t="s">
        <v>55</v>
      </c>
      <c r="E4" s="24" t="s">
        <v>56</v>
      </c>
      <c r="F4" s="24" t="s">
        <v>59</v>
      </c>
      <c r="G4" s="24" t="s">
        <v>60</v>
      </c>
      <c r="H4" s="24" t="s">
        <v>61</v>
      </c>
      <c r="I4" s="24" t="s">
        <v>62</v>
      </c>
      <c r="J4" s="24" t="s">
        <v>63</v>
      </c>
      <c r="K4" s="24" t="s">
        <v>63</v>
      </c>
      <c r="L4" s="24" t="s">
        <v>64</v>
      </c>
      <c r="M4" s="24" t="s">
        <v>65</v>
      </c>
      <c r="N4" s="24" t="s">
        <v>65</v>
      </c>
      <c r="O4" s="24" t="s">
        <v>66</v>
      </c>
      <c r="P4" s="24" t="s">
        <v>67</v>
      </c>
      <c r="Q4" s="24" t="s">
        <v>68</v>
      </c>
      <c r="R4" s="24" t="s">
        <v>69</v>
      </c>
      <c r="S4" s="24" t="s">
        <v>70</v>
      </c>
      <c r="T4" s="24" t="s">
        <v>71</v>
      </c>
      <c r="U4" s="24" t="s">
        <v>77</v>
      </c>
      <c r="W4" s="24" t="s">
        <v>72</v>
      </c>
      <c r="X4" s="24" t="s">
        <v>73</v>
      </c>
      <c r="Y4" s="24" t="s">
        <v>73</v>
      </c>
      <c r="Z4" s="24" t="s">
        <v>73</v>
      </c>
      <c r="AA4" s="24" t="s">
        <v>73</v>
      </c>
      <c r="AB4" s="24" t="s">
        <v>74</v>
      </c>
      <c r="AC4" s="24" t="s">
        <v>75</v>
      </c>
      <c r="AD4" s="24" t="s">
        <v>75</v>
      </c>
      <c r="AE4" s="24" t="s">
        <v>76</v>
      </c>
      <c r="AF4" s="24" t="s">
        <v>76</v>
      </c>
      <c r="AG4" s="24" t="s">
        <v>76</v>
      </c>
      <c r="AH4" s="24" t="s">
        <v>76</v>
      </c>
      <c r="AK4" s="24" t="s">
        <v>73</v>
      </c>
    </row>
  </sheetData>
  <dataValidations count="1">
    <dataValidation type="list" allowBlank="1" showInputMessage="1" showErrorMessage="1" sqref="J2:J3" xr:uid="{73A5DC18-740A-4209-9234-234A6077B621}">
      <formula1>"  ,Ja, Nee"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Dutour Geerling</dc:creator>
  <cp:lastModifiedBy>Patrick Dutour Geerling</cp:lastModifiedBy>
  <dcterms:created xsi:type="dcterms:W3CDTF">2026-02-04T14:36:34Z</dcterms:created>
  <dcterms:modified xsi:type="dcterms:W3CDTF">2026-02-09T10:55:37Z</dcterms:modified>
</cp:coreProperties>
</file>
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kemkensnl-my.sharepoint.com/personal/g_smits_wvc_nl/Documents/Gegevens/Data exel/WVC/2026/AI tool factureren/"/>
    </mc:Choice>
  </mc:AlternateContent>
  <xr:revisionPtr revIDLastSave="69" documentId="8_{96B6B2DD-14E0-4EFF-B388-4172A9765913}" xr6:coauthVersionLast="47" xr6:coauthVersionMax="47" xr10:uidLastSave="{F1D863F0-77B5-4EBF-865E-79CD2C888ECE}"/>
  <bookViews>
    <workbookView xWindow="3750" yWindow="1830" windowWidth="21600" windowHeight="11295" activeTab="1" xr2:uid="{84B4FA89-A0DE-49B3-B316-EB8043E4F01C}"/>
  </bookViews>
  <sheets>
    <sheet name="Blad1" sheetId="2" r:id="rId1"/>
    <sheet name="classificatie_geschiedenis_v2 (" sheetId="1" r:id="rId2"/>
  </sheets>
  <definedNames>
    <definedName name="_xlnm._FilterDatabase" localSheetId="1" hidden="1">'classificatie_geschiedenis_v2 ('!$A$1:$N$41</definedName>
  </definedNames>
  <calcPr calcId="191029"/>
  <pivotCaches>
    <pivotCache cacheId="4"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2" l="1"/>
  <c r="B17" i="2"/>
</calcChain>
</file>

<file path=xl/sharedStrings.xml><?xml version="1.0" encoding="utf-8"?>
<sst xmlns="http://schemas.openxmlformats.org/spreadsheetml/2006/main" count="440" uniqueCount="154">
  <si>
    <t>timestamp</t>
  </si>
  <si>
    <t>werkbon_key</t>
  </si>
  <si>
    <t>werkbon_code</t>
  </si>
  <si>
    <t>debiteur</t>
  </si>
  <si>
    <t>datum</t>
  </si>
  <si>
    <t>contract_filename</t>
  </si>
  <si>
    <t>classificatie</t>
  </si>
  <si>
    <t>basis_classificatie</t>
  </si>
  <si>
    <t>confidence</t>
  </si>
  <si>
    <t>toelichting</t>
  </si>
  <si>
    <t>contract_referentie</t>
  </si>
  <si>
    <t>totaal_kosten</t>
  </si>
  <si>
    <t>2026-02-11T20:00:05.690010</t>
  </si>
  <si>
    <t>W2548509</t>
  </si>
  <si>
    <t>005102 - Trivire</t>
  </si>
  <si>
    <t>Trivire_Tablis_rhiant.txt</t>
  </si>
  <si>
    <t>NEE</t>
  </si>
  <si>
    <t>90.0</t>
  </si>
  <si>
    <t>De monteur geeft aan dat de oorzaak van de storing 'Probleem door derde' is. Volgens regel 2 van de contractanalyse vallen dergelijke werkzaamheden buiten het servicecontract en moeten ze apart gefactureerd worden aan de klant.</t>
  </si>
  <si>
    <t>Regel 2 - Probleem door derden / electricien</t>
  </si>
  <si>
    <t>W2548498</t>
  </si>
  <si>
    <t>JA</t>
  </si>
  <si>
    <t>De werkzaamheden vallen binnen het contract, omdat de monteur heeft aangegeven dat de storing en vervanging van onderdelen (expansievat, ontluchter, veiligheidsventiel) zich binnen de ketelkast (&lt; 2 m van de cv-ketel) bevonden. Dit valt volgens het contract binnen de 'Rhiant'-regel, waarbij alles binnen 2 meter van de cv-ketel binnen het contract valt.</t>
  </si>
  <si>
    <t>Rhiant (Alles binnen &lt; 2 m van de ketel binnen contract)</t>
  </si>
  <si>
    <t>W2548457</t>
  </si>
  <si>
    <t>100.0</t>
  </si>
  <si>
    <t>De werkzaamheden betreffen het bijvullen en ontluchten van de installatie, wat volgens het contract altijd binnen het contract valt. De monteur heeft de installatie bijgevuld en ontlucht, wat past binnen de regel 'installatie vullen en ontluchten - ALTIJD JA'.</t>
  </si>
  <si>
    <t>W2548454</t>
  </si>
  <si>
    <t>De werkbon valt binnen het contract, omdat de monteur werkzaamheden heeft uitgevoerd aan de cv-ketel zelf, binnen de ketelkast (&lt; 2 meter van de ketel). Specifiek gaat het om het verhelpen van een storing op de cv- en warmwatervoorziening, wat volgens de contractvoorwaarden onder het contract valt.</t>
  </si>
  <si>
    <t>W2548428</t>
  </si>
  <si>
    <t>Deze werkbon valt binnen het contract, omdat de monteur onderdelen van de cv-ketel zelf heeft vervangen, zoals de actuator en driewegklep. Deze vallen onder 'Ketelonderdelen' volgens regel 1 en zijn daarom altijd binnen het contract.</t>
  </si>
  <si>
    <t>147.36</t>
  </si>
  <si>
    <t>W2548345</t>
  </si>
  <si>
    <t>De werkbon beschrijft een lekkage onder de cv-ketel, buiten de mantel van de ketel (&gt; 2 meter). Volgens de contractvoorwaarden valt dit niet binnen het contract en moet dit worden gefactureerd aan de klant.</t>
  </si>
  <si>
    <t>Artikel over 'lekkage ONDER de ketel' &gt; 2 meter</t>
  </si>
  <si>
    <t>W2548296</t>
  </si>
  <si>
    <t>De werkbon beschrijft dat de monteur een defecte radiatorkraan heeft gerepareerd. Radiatorkranen vallen volgens het contract altijd binnen de dekking, ongeacht de locatie. Dit is dus een contractuele reparatie.</t>
  </si>
  <si>
    <t>Radiatorkranen (Rhiant/binnen 2m van cv-ketel)</t>
  </si>
  <si>
    <t>W2548293</t>
  </si>
  <si>
    <t>De werkbon valt binnen het contract. De monteur heeft de ventilator van de cv-ketel vervangen, wat een onderdeel is dat valt onder de 'Ketelonderdelen' categorie in het contract. Dit is een reparatie binnen de mantel van de cv-ketel, dus binnen het contract.</t>
  </si>
  <si>
    <t>Binnen contract - Ketelonderdelen</t>
  </si>
  <si>
    <t>W2548272</t>
  </si>
  <si>
    <t>Volgens de informatie in 'WAT HEEFT DE MONTEUR GEDAAN?' gaat het om een storing aan het 'gesloten toestel' (cv-ketel). Storingen aan de cv-ketel vallen binnen het contract volgens de regels in het contractoverzicht. De monteur heeft de storing verholpen, wat ook binnen het contract valt. Daarom classificeer ik deze werkbon als 'JA, binnen contract'.</t>
  </si>
  <si>
    <t>Binnen de mantel van de cv-ketel</t>
  </si>
  <si>
    <t>W2548268</t>
  </si>
  <si>
    <t>De monteur heeft een lekkage onder de cv-ketel opgelost door verschillende PVC-leidingdelen te vervangen. Omdat de lekkage zich buiten de ketelkast bevond, valt dit buiten het contract volgens de contractvoorwaarden.</t>
  </si>
  <si>
    <t>Lekkage leiding BUITEN ketelkast</t>
  </si>
  <si>
    <t>2026-02-11T20:02:08.093537</t>
  </si>
  <si>
    <t>W2547909</t>
  </si>
  <si>
    <t>De monteur heeft de installatie bijgevuld en ontlucht, wat volgens de contractvoorwaarden altijd binnen het contract valt (Regel 1).</t>
  </si>
  <si>
    <t>Binnen contract: Installatie vullen en ontluchten</t>
  </si>
  <si>
    <t>W2547890</t>
  </si>
  <si>
    <t>De werkzaamheden vallen binnen het contract, omdat de monteur het expansievat heeft vervangen, welke onderdeel is van de cv-ketel zelf. Dit valt volgens het contract onder 'binnen de mantel' en is dus binnen contract.</t>
  </si>
  <si>
    <t>W2547870</t>
  </si>
  <si>
    <t>De monteur heeft een lekkage aan de installatie verholpen, waarbij hij een radiatorafsluiter, cv-buis en koppeling heeft vervangen. Deze werkzaamheden vallen binnen het servicecontract onder de categorie 'binnen de mantel van de cv-ketel' en 'radiatorkranen en appendages'.</t>
  </si>
  <si>
    <t>Binnen de mantel van de cv-ketel, radiatorkranen en appendages, installatie vullen en ontluchten</t>
  </si>
  <si>
    <t>W2547729</t>
  </si>
  <si>
    <t>De monteur heeft de installatie gevuld en ontlucht, wat volgens de contractvoorwaarden altijd binnen het contract valt. De werkzaamheden hebben betrekking op onderdelen binnen de ketelmantel en zijn dus binnen contract.</t>
  </si>
  <si>
    <t>Rhiant: Binnen contract, geen apart tarief</t>
  </si>
  <si>
    <t>W2547634</t>
  </si>
  <si>
    <t>Deze werkbon valt binnen het contract, omdat de monteur heeft gewerkt aan de cv-ketel en de zonneboiler, die beiden onderdeel zijn van de cv-installatie. De monteur heeft geen werkzaamheden buiten de ketel uitgevoerd. Daarnaast vallen storingen aan de cv-ketel en controle van de zonneboiler binnen de Rhiant-clausule van het contract.</t>
  </si>
  <si>
    <t>Binnen mantel cv-ketel, onderhoud cv-ketel</t>
  </si>
  <si>
    <t>W2547480</t>
  </si>
  <si>
    <t>De werkzaamheden vallen binnen het contract, omdat de monteur heeft gekeken naar een storing in de cv-installatie (GEEN CV en WW). Volgens regel 1 zijn storingen aan en onderdelen van de cv-ketel altijd binnen het contract, ook als het een dure reparatie betreft.</t>
  </si>
  <si>
    <t>W2547479</t>
  </si>
  <si>
    <t>De werkbon beschrijft een storing aan de CV-installatie, waarbij de monteur aangeeft dat er 'GEEN CV en WW' is. Dit wijst erop dat de storing zich binnen de CV-ketel bevindt, wat volgens de contractvoorwaarden binnen het contract valt. De monteur heeft de storing verholpen, wat past binnen het contract voor 'CV storingen verhelpen'. Daarom classificeer ik deze werkbon als 'JA', volledig binnen het contract.</t>
  </si>
  <si>
    <t>W2547475</t>
  </si>
  <si>
    <t>De werkbon beschrijft dat de monteur een defecte radiatorkraan heeft gerepareerd, wat binnen het servicecontract valt volgens de regel 'Radiatorkranen en appendages - ALTIJD JA, ook als ze &gt; 2 meter van de ketel zitten'. De locatie van de werkzaamheden is ook binnen de ketelkast ('binnen de mantel'), dus dit valt volledig binnen het contract.</t>
  </si>
  <si>
    <t>Radiatorkranen, Binnen de mantel van de cv-ketel</t>
  </si>
  <si>
    <t>W2547463</t>
  </si>
  <si>
    <t>Volgens de omschrijving in 'Wat heeft de monteur gedaan?' gaat het om een probleem met de CV-installatie dat is veroorzaakt door een derde partij. Dit valt buiten het contract en dient apart te worden gefactureerd.</t>
  </si>
  <si>
    <t>Het probleem is veroorzaakt door een derde partij, dit valt buiten het contract.</t>
  </si>
  <si>
    <t>W2547442</t>
  </si>
  <si>
    <t>De monteur heeft een storing aan de Viessmann Vitodens 100 WB1C cv-ketel verholpen. Aangezien dit een onderdeel is van de cv-ketel, valt dit binnen het contract volgens de regels in het contract.</t>
  </si>
  <si>
    <t>Binnen de mantel van de cv-ketel, Storingen aan: gevelkachelkachels, gasgestookte en elektra boilers, luchtverhitters</t>
  </si>
  <si>
    <t>2026-02-11T20:05:05.393509</t>
  </si>
  <si>
    <t>W2547436</t>
  </si>
  <si>
    <t>Volgens de werkbonbeschrijving is er sprake van een 'lekkage onder de ketel', wat duidt op een lekkage buiten de ketelkast. Dit valt daarom buiten het contract volgens de regels. De monteur geeft ook aan dat de oorzaak een 'probleem door derde' is, wat ook wijst op werkzaamheden die buiten het contract vallen.</t>
  </si>
  <si>
    <t>W2547289</t>
  </si>
  <si>
    <t>TWIJFEL</t>
  </si>
  <si>
    <t>PARSE_ERROR</t>
  </si>
  <si>
    <t>0.0</t>
  </si>
  <si>
    <t>Kon response niet parsen: Expecting value: line 1 column 1 (char 0)</t>
  </si>
  <si>
    <t>W2547281</t>
  </si>
  <si>
    <t>80.0</t>
  </si>
  <si>
    <t>De monteur heeft een probleem met lekkage onder de cv-ketel opgelost. Volgens de contractvoorwaarden vallen lekken buiten de ketelkast (&lt; 2 meter van de ketel) buiten het contract, dus deze werkbon moet worden gefactureerd aan de klant.</t>
  </si>
  <si>
    <t>Lekkage ONDER de ketel is buiten de ketelkast, dus buiten contract</t>
  </si>
  <si>
    <t>W2547270</t>
  </si>
  <si>
    <t>De werkbon valt binnen het contract omdat de monteur een radiatorkraan heeft vervangen. Radiatorkranen zijn volgens het contract altijd binnen contract, ook als ze meer dan 2 meter van de ketel zitten.</t>
  </si>
  <si>
    <t>Radiatorkranen en appendages - Binnen contract</t>
  </si>
  <si>
    <t>W2547240</t>
  </si>
  <si>
    <t>De werkbon valt binnen het contract, omdat de monteur gewerkt heeft aan onderdelen van de CV-ketel (expansievat) die zich binnen 2 meter van de ketel bevinden. Volgens de contractvoorwaarden vallen deze werkzaamheden binnen het contract.</t>
  </si>
  <si>
    <t>W2547120</t>
  </si>
  <si>
    <t>De monteur heeft een defecte radiatorkraan in de woonkamer en slaapkamer gerepareerd. Radiatorkranen zijn ALTIJD binnen contract, ook als ze verder dan 2 meter van de ketel staan. Daarom valt deze werkzaamheid binnen het contract.</t>
  </si>
  <si>
    <t>Radiatorkranen zijn ALTIJD binnen contract, ongeacht locatie (Regel 1)</t>
  </si>
  <si>
    <t>W2547085</t>
  </si>
  <si>
    <t>De monteur heeft gemeld dat er sprake was van 'lekkage onder de ketel', wat betekent dat de lekkage zich buiten de ketelkast bevond. Volgens de contractvoorwaarden vallen dergelijke lekken buiten het contract.</t>
  </si>
  <si>
    <t>117.15</t>
  </si>
  <si>
    <t>W2547114</t>
  </si>
  <si>
    <t>De monteur heeft een defecte radiatorkraan in de woonkamer vervangen. Volgens regel 1 vallen radiatorkranen altijd binnen het contract, ook als ze meer dan 2 meter van de ketel zitten.</t>
  </si>
  <si>
    <t>Radiatorkranen en appendages</t>
  </si>
  <si>
    <t>W2547118</t>
  </si>
  <si>
    <t>Uit de 'WAT HEEFT DE MONTEUR GEDAAN?' sectie blijkt dat er sprake is van 'lekkage onder de ketel', wat buiten de ketelkast valt. Volgens de contractvoorwaarden valt dit onder 'Lekkage leiding BUITEN ketelkast' en is dus niet binnen het contract.</t>
  </si>
  <si>
    <t>Lekkage onder de ketel is buiten de ketelkast (&lt; 2m van de ketel), dus valt onder 'Lekkage leiding BUITEN ketelkast' en is daarmee buiten het contract.</t>
  </si>
  <si>
    <t>W2547140</t>
  </si>
  <si>
    <t>De monteur heeft een lekkage onder de cv-ketel verholpen, wat een onderdeel van de ketel zelf is. Dit valt volgens regel 1 altijd binnen het contract.</t>
  </si>
  <si>
    <t>Ketelonderdelen, lekkage aan ketel</t>
  </si>
  <si>
    <t>2026-02-11T20:09:05.633350</t>
  </si>
  <si>
    <t>W2546622</t>
  </si>
  <si>
    <t>W2546524</t>
  </si>
  <si>
    <t>Kon response niet parsen: Invalid control character at: line 5 column 72 (char 220)</t>
  </si>
  <si>
    <t>W2546520</t>
  </si>
  <si>
    <t>De monteur constateerde een lekkage onder de ketel, wat betekent dat de lekkage buiten de ketelkast valt. Volgens de contractvoorwaarden vallen dergelijke lekken buiten het contract en moeten deze worden gefactureerd aan de klant.</t>
  </si>
  <si>
    <t>W2546472</t>
  </si>
  <si>
    <t>De monteur heeft een storing aan de kamerthermostaat verholpen, welke onderdeel is van de cv-installatie binnen 2 meter van de ketel. Volgens het contract vallen deze werkzaamheden binnen het contract.</t>
  </si>
  <si>
    <t>Rhiant (Alles binnen &lt; 2 m van de ketel binnen contract) - Kamerthermostaat</t>
  </si>
  <si>
    <t>W2546419</t>
  </si>
  <si>
    <t>De werkzaamheden vallen binnen het contract, omdat de monteur ketelonderdelen (cartridge, hallsensor) heeft vervangen en de installatie heeft gevuld en ontlucht, wat allemaal binnen contract is volgens de contractvoorwaarden.</t>
  </si>
  <si>
    <t>Onderdelen binnen de ketel, bijvullen en ontluchten</t>
  </si>
  <si>
    <t>W2546415</t>
  </si>
  <si>
    <t>De monteur heeft een onderdeel van de cv-ketel (ontstekingstrafo) vervangen. Volgens regel 1 vallen ketelonderdelen altijd binnen het contract, ongeacht de locatie. Daarom vallen de werkzaamheden binnen het contract.</t>
  </si>
  <si>
    <t>Ketelonderdeel: onderdelen die deel uitmaken van de cv-ketel zelf vallen altijd binnen het contract.</t>
  </si>
  <si>
    <t>W2546414</t>
  </si>
  <si>
    <t>De monteur heeft een defecte radiatorkraan in de woonkamer vervangen. Radiatorkranen zijn ALTIJD binnen het contract, ongeacht de locatie (binnen of buiten de ketelkast). Daarom vallen deze werkzaamheden binnen het servicecontract.</t>
  </si>
  <si>
    <t>Radiatorkranen en appendages zijn ALTIJD binnen contract (artikel: Radiatorkranen en appendages)</t>
  </si>
  <si>
    <t>W2546402</t>
  </si>
  <si>
    <t>De werkbon beschrijft een storing aan de cv-installatie en de warmwatervoorziening. Omdat de storing niet specifiek gaat over onderdelen binnen de cv-ketel, valt dit buiten het contract. Daarnaast wordt een geiser/moederhaard genoemd, wat ook altijd buiten het contract valt.</t>
  </si>
  <si>
    <t>Volgens regel 2 - Vloerverwarming en geiser/moederhaard zijn altijd buiten contract</t>
  </si>
  <si>
    <t>W2546391</t>
  </si>
  <si>
    <t>De monteur geeft aan dat er een 'lekkage onder de ketel' was, wat betekent dat de lekkage zich buiten de ketelkast bevond. Volgens de contractvoorwaarden vallen dergelijke lekken buiten het contract en moeten ze apart worden gefactureerd aan de klant.</t>
  </si>
  <si>
    <t>W2546388</t>
  </si>
  <si>
    <t>De werkzaamheden vallen binnen het contract, omdat de monteur een defect onderdeel (ventilator) van de cv-ketel heeft vervangen. Ketelonderdelen zoals ventilatoren zijn expliciet genoemd in de contractvoorwaarden als onderdelen die binnen het contract vallen, ongeacht de locatie ten opzichte van de ketel.</t>
  </si>
  <si>
    <t>Binnen contract: Ketelonderdelen (ventilator) vervangen</t>
  </si>
  <si>
    <t>opmerking</t>
  </si>
  <si>
    <t>bevinding WVC</t>
  </si>
  <si>
    <t>valt niet binnen individueel contract</t>
  </si>
  <si>
    <t>nvt</t>
  </si>
  <si>
    <t>fout</t>
  </si>
  <si>
    <t>In de oplossing staat : Radiator gedemonteerd en hergemonteerd ivm verstopping</t>
  </si>
  <si>
    <t>oplossing niet goed gelezen moet TWIJFEL zijn</t>
  </si>
  <si>
    <t>lekkage onder de ketel is &lt; 2 meter valt binnen contract</t>
  </si>
  <si>
    <t>Lekkage installatie valt buiten contract</t>
  </si>
  <si>
    <t>Lekkage onder de ketel binnen het contract</t>
  </si>
  <si>
    <t>installatie gevuld en ontlucht altijd in het contract</t>
  </si>
  <si>
    <t>oplossing niet gelezen bewoner niet thuis in contract</t>
  </si>
  <si>
    <t>oplossing ketelonderdelen vervangen binnen contract geen twijfel geval</t>
  </si>
  <si>
    <t>oplossing: gevuld en ontlucht binnen contract geen twijfel geval</t>
  </si>
  <si>
    <t>goed</t>
  </si>
  <si>
    <t>zit binnen 2 meter onder de ketel in het contract</t>
  </si>
  <si>
    <t>CV lekkage inst. Valt buiten het contract slaapkamer woonkamer (afgekort slk en wk)</t>
  </si>
  <si>
    <t>Rijlabels</t>
  </si>
  <si>
    <t>Eindtotaal</t>
  </si>
  <si>
    <t>Aantal van classificatie</t>
  </si>
  <si>
    <t>nauwkeurigheid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</si>
</sst>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9" fontId="0" fillId="0" borderId="0" xfId="42" applyFont="1"/>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Procent" xfId="42" builtinId="5"/>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rrit Smits" refreshedDate="46065.486079745373" createdVersion="8" refreshedVersion="8" minRefreshableVersion="3" recordCount="52" xr:uid="{E8EF9E4A-FFF4-4089-BEB9-26764EA5A092}">
  <cacheSource type="worksheet">
    <worksheetSource ref="A1:N1048576" sheet="classificatie_geschiedenis_v2 ("/>
  </cacheSource>
  <cacheFields count="14">
    <cacheField name="timestamp" numFmtId="0">
      <sharedItems containsBlank="1"/>
    </cacheField>
    <cacheField name="werkbon_key" numFmtId="0">
      <sharedItems containsString="0" containsBlank="1" containsNumber="1" containsInteger="1" minValue="2997349" maxValue="3010988"/>
    </cacheField>
    <cacheField name="werkbon_code" numFmtId="0">
      <sharedItems containsBlank="1"/>
    </cacheField>
    <cacheField name="debiteur" numFmtId="0">
      <sharedItems containsBlank="1"/>
    </cacheField>
    <cacheField name="datum" numFmtId="0">
      <sharedItems containsNonDate="0" containsDate="1" containsString="0" containsBlank="1" minDate="2025-12-06T00:00:00" maxDate="2025-12-20T00:00:00"/>
    </cacheField>
    <cacheField name="contract_filename" numFmtId="0">
      <sharedItems containsBlank="1"/>
    </cacheField>
    <cacheField name="classificatie" numFmtId="0">
      <sharedItems containsBlank="1" count="4">
        <s v="NEE"/>
        <s v="JA"/>
        <s v="TWIJFEL"/>
        <m/>
      </sharedItems>
    </cacheField>
    <cacheField name="basis_classificatie" numFmtId="0">
      <sharedItems containsBlank="1"/>
    </cacheField>
    <cacheField name="confidence" numFmtId="0">
      <sharedItems containsBlank="1"/>
    </cacheField>
    <cacheField name="toelichting" numFmtId="0">
      <sharedItems containsBlank="1" longText="1"/>
    </cacheField>
    <cacheField name="contract_referentie" numFmtId="0">
      <sharedItems containsBlank="1"/>
    </cacheField>
    <cacheField name="totaal_kosten" numFmtId="0">
      <sharedItems containsBlank="1" containsMixedTypes="1" containsNumber="1" containsInteger="1" minValue="21485" maxValue="5.137E+16"/>
    </cacheField>
    <cacheField name="opmerking" numFmtId="0">
      <sharedItems containsBlank="1"/>
    </cacheField>
    <cacheField name="bevinding WVC" numFmtId="0">
      <sharedItems containsBlank="1" count="4">
        <s v="goed"/>
        <s v="fout"/>
        <s v="nvt"/>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2026-02-11T20:00:05.690010"/>
    <n v="3010988"/>
    <s v="W2548509"/>
    <s v="005102 - Trivire"/>
    <d v="2025-12-19T00:00:00"/>
    <s v="Trivire_Tablis_rhiant.txt"/>
    <x v="0"/>
    <s v="NEE"/>
    <s v="90.0"/>
    <s v="De monteur geeft aan dat de oorzaak van de storing 'Probleem door derde' is. Volgens regel 2 van de contractanalyse vallen dergelijke werkzaamheden buiten het servicecontract en moeten ze apart gefactureerd worden aan de klant."/>
    <s v="Regel 2 - Probleem door derden / electricien"/>
    <n v="729815"/>
    <m/>
    <x v="0"/>
  </r>
  <r>
    <s v="2026-02-11T20:00:05.690010"/>
    <n v="3010931"/>
    <s v="W2548498"/>
    <s v="005102 - Trivire"/>
    <d v="2025-12-18T00:00:00"/>
    <s v="Trivire_Tablis_rhiant.txt"/>
    <x v="1"/>
    <s v="JA"/>
    <s v="90.0"/>
    <s v="De werkzaamheden vallen binnen het contract, omdat de monteur heeft aangegeven dat de storing en vervanging van onderdelen (expansievat, ontluchter, veiligheidsventiel) zich binnen de ketelkast (&lt; 2 m van de cv-ketel) bevonden. Dit valt volgens het contract binnen de 'Rhiant'-regel, waarbij alles binnen 2 meter van de cv-ketel binnen het contract valt."/>
    <s v="Rhiant (Alles binnen &lt; 2 m van de ketel binnen contract)"/>
    <n v="8947749999999990"/>
    <m/>
    <x v="0"/>
  </r>
  <r>
    <s v="2026-02-11T20:00:05.690010"/>
    <n v="3010648"/>
    <s v="W2548457"/>
    <s v="005102 - Trivire"/>
    <d v="2025-12-18T00:00:00"/>
    <s v="Trivire_Tablis_rhiant.txt"/>
    <x v="1"/>
    <s v="JA"/>
    <s v="100.0"/>
    <s v="De werkzaamheden betreffen het bijvullen en ontluchten van de installatie, wat volgens het contract altijd binnen het contract valt. De monteur heeft de installatie bijgevuld en ontlucht, wat past binnen de regel 'installatie vullen en ontluchten - ALTIJD JA'."/>
    <s v="Rhiant (Alles binnen &lt; 2 m van de ketel binnen contract)"/>
    <n v="1.15994499999999E+16"/>
    <m/>
    <x v="0"/>
  </r>
  <r>
    <s v="2026-02-11T20:00:05.690010"/>
    <n v="3010631"/>
    <s v="W2548454"/>
    <s v="005102 - Trivire"/>
    <d v="2025-12-18T00:00:00"/>
    <s v="Trivire_Tablis_rhiant.txt"/>
    <x v="1"/>
    <s v="JA"/>
    <s v="100.0"/>
    <s v="De werkbon valt binnen het contract, omdat de monteur werkzaamheden heeft uitgevoerd aan de cv-ketel zelf, binnen de ketelkast (&lt; 2 meter van de ketel). Specifiek gaat het om het verhelpen van een storing op de cv- en warmwatervoorziening, wat volgens de contractvoorwaarden onder het contract valt."/>
    <s v="Rhiant (Alles binnen &lt; 2 m van de ketel binnen contract)"/>
    <n v="115716"/>
    <m/>
    <x v="0"/>
  </r>
  <r>
    <s v="2026-02-11T20:00:05.690010"/>
    <n v="3010455"/>
    <s v="W2548428"/>
    <s v="005102 - Trivire"/>
    <d v="2025-12-18T00:00:00"/>
    <s v="Trivire_Tablis_rhiant.txt"/>
    <x v="1"/>
    <s v="JA"/>
    <s v="90.0"/>
    <s v="Deze werkbon valt binnen het contract, omdat de monteur onderdelen van de cv-ketel zelf heeft vervangen, zoals de actuator en driewegklep. Deze vallen onder 'Ketelonderdelen' volgens regel 1 en zijn daarom altijd binnen het contract."/>
    <s v="Rhiant (Alles binnen &lt; 2 m van de ketel binnen contract)"/>
    <s v="147.36"/>
    <m/>
    <x v="0"/>
  </r>
  <r>
    <s v="2026-02-11T20:00:05.690010"/>
    <n v="3009733"/>
    <s v="W2548345"/>
    <s v="005102 - Trivire"/>
    <d v="2025-12-17T00:00:00"/>
    <s v="Trivire_Tablis_rhiant.txt"/>
    <x v="0"/>
    <s v="NEE"/>
    <s v="90.0"/>
    <s v="De werkbon beschrijft een lekkage onder de cv-ketel, buiten de mantel van de ketel (&gt; 2 meter). Volgens de contractvoorwaarden valt dit niet binnen het contract en moet dit worden gefactureerd aan de klant."/>
    <s v="Artikel over 'lekkage ONDER de ketel' &gt; 2 meter"/>
    <n v="205742"/>
    <m/>
    <x v="0"/>
  </r>
  <r>
    <s v="2026-02-11T20:00:05.690010"/>
    <n v="3009393"/>
    <s v="W2548296"/>
    <s v="005102 - Trivire"/>
    <d v="2025-12-17T00:00:00"/>
    <s v="Trivire_Tablis_rhiant.txt"/>
    <x v="1"/>
    <s v="JA"/>
    <s v="100.0"/>
    <s v="De werkbon beschrijft dat de monteur een defecte radiatorkraan heeft gerepareerd. Radiatorkranen vallen volgens het contract altijd binnen de dekking, ongeacht de locatie. Dit is dus een contractuele reparatie."/>
    <s v="Radiatorkranen (Rhiant/binnen 2m van cv-ketel)"/>
    <n v="1052495"/>
    <m/>
    <x v="0"/>
  </r>
  <r>
    <s v="2026-02-11T20:00:05.690010"/>
    <n v="3009366"/>
    <s v="W2548293"/>
    <s v="005102 - Trivire"/>
    <d v="2025-12-17T00:00:00"/>
    <s v="Trivire_Tablis_rhiant.txt"/>
    <x v="1"/>
    <s v="JA"/>
    <s v="100.0"/>
    <s v="De werkbon valt binnen het contract. De monteur heeft de ventilator van de cv-ketel vervangen, wat een onderdeel is dat valt onder de 'Ketelonderdelen' categorie in het contract. Dit is een reparatie binnen de mantel van de cv-ketel, dus binnen het contract."/>
    <s v="Binnen contract - Ketelonderdelen"/>
    <n v="2.355205E+16"/>
    <m/>
    <x v="0"/>
  </r>
  <r>
    <s v="2026-02-11T20:00:05.690010"/>
    <n v="3009173"/>
    <s v="W2548272"/>
    <s v="005102 - Trivire"/>
    <d v="2025-12-17T00:00:00"/>
    <s v="Trivire_Tablis_rhiant.txt"/>
    <x v="1"/>
    <s v="JA"/>
    <s v="90.0"/>
    <s v="Volgens de informatie in 'WAT HEEFT DE MONTEUR GEDAAN?' gaat het om een storing aan het 'gesloten toestel' (cv-ketel). Storingen aan de cv-ketel vallen binnen het contract volgens de regels in het contractoverzicht. De monteur heeft de storing verholpen, wat ook binnen het contract valt. Daarom classificeer ik deze werkbon als 'JA, binnen contract'."/>
    <s v="Binnen de mantel van de cv-ketel"/>
    <n v="21485"/>
    <m/>
    <x v="0"/>
  </r>
  <r>
    <s v="2026-02-11T20:00:05.690010"/>
    <n v="3009146"/>
    <s v="W2548268"/>
    <s v="005102 - Trivire"/>
    <d v="2025-12-17T00:00:00"/>
    <s v="Trivire_Tablis_rhiant.txt"/>
    <x v="0"/>
    <s v="NEE"/>
    <s v="90.0"/>
    <s v="De monteur heeft een lekkage onder de cv-ketel opgelost door verschillende PVC-leidingdelen te vervangen. Omdat de lekkage zich buiten de ketelkast bevond, valt dit buiten het contract volgens de contractvoorwaarden."/>
    <s v="Lekkage leiding BUITEN ketelkast"/>
    <n v="99274"/>
    <s v="zit binnen 2 meter onder de ketel in het contract"/>
    <x v="1"/>
  </r>
  <r>
    <s v="2026-02-11T20:02:08.093537"/>
    <n v="3004668"/>
    <s v="W2547909"/>
    <s v="005102 - Trivire"/>
    <d v="2025-12-15T00:00:00"/>
    <s v="Trivire_Tablis_rhiant.txt"/>
    <x v="1"/>
    <s v="JA"/>
    <s v="100.0"/>
    <s v="De monteur heeft de installatie bijgevuld en ontlucht, wat volgens de contractvoorwaarden altijd binnen het contract valt (Regel 1)."/>
    <s v="Binnen contract: Installatie vullen en ontluchten"/>
    <n v="71646"/>
    <s v="valt niet binnen individueel contract"/>
    <x v="2"/>
  </r>
  <r>
    <s v="2026-02-11T20:02:08.093537"/>
    <n v="3004600"/>
    <s v="W2547890"/>
    <s v="005102 - Trivire"/>
    <d v="2025-12-15T00:00:00"/>
    <s v="Trivire_Tablis_rhiant.txt"/>
    <x v="1"/>
    <s v="JA"/>
    <s v="90.0"/>
    <s v="De werkzaamheden vallen binnen het contract, omdat de monteur het expansievat heeft vervangen, welke onderdeel is van de cv-ketel zelf. Dit valt volgens het contract onder 'binnen de mantel' en is dus binnen contract."/>
    <s v="Binnen de mantel van de cv-ketel"/>
    <n v="88707"/>
    <m/>
    <x v="0"/>
  </r>
  <r>
    <s v="2026-02-11T20:02:08.093537"/>
    <n v="3004558"/>
    <s v="W2547870"/>
    <s v="005102 - Trivire"/>
    <d v="2025-12-15T00:00:00"/>
    <s v="Trivire_Tablis_rhiant.txt"/>
    <x v="1"/>
    <s v="JA"/>
    <s v="90.0"/>
    <s v="De monteur heeft een lekkage aan de installatie verholpen, waarbij hij een radiatorafsluiter, cv-buis en koppeling heeft vervangen. Deze werkzaamheden vallen binnen het servicecontract onder de categorie 'binnen de mantel van de cv-ketel' en 'radiatorkranen en appendages'."/>
    <s v="Binnen de mantel van de cv-ketel, radiatorkranen en appendages, installatie vullen en ontluchten"/>
    <n v="865775"/>
    <s v="CV lekkage inst. Valt buiten het contract slaapkamer woonkamer (afgekort slk en wk)"/>
    <x v="1"/>
  </r>
  <r>
    <s v="2026-02-11T20:02:08.093537"/>
    <n v="3004200"/>
    <s v="W2547729"/>
    <s v="005102 - Trivire"/>
    <d v="2025-12-15T00:00:00"/>
    <s v="Trivire_Tablis_rhiant.txt"/>
    <x v="1"/>
    <s v="JA"/>
    <s v="90.0"/>
    <s v="De monteur heeft de installatie gevuld en ontlucht, wat volgens de contractvoorwaarden altijd binnen het contract valt. De werkzaamheden hebben betrekking op onderdelen binnen de ketelmantel en zijn dus binnen contract."/>
    <s v="Rhiant: Binnen contract, geen apart tarief"/>
    <n v="41659"/>
    <m/>
    <x v="0"/>
  </r>
  <r>
    <s v="2026-02-11T20:02:08.093537"/>
    <n v="3004000"/>
    <s v="W2547634"/>
    <s v="005102 - Trivire"/>
    <d v="2025-12-15T00:00:00"/>
    <s v="Trivire_Tablis_rhiant.txt"/>
    <x v="1"/>
    <s v="JA"/>
    <s v="90.0"/>
    <s v="Deze werkbon valt binnen het contract, omdat de monteur heeft gewerkt aan de cv-ketel en de zonneboiler, die beiden onderdeel zijn van de cv-installatie. De monteur heeft geen werkzaamheden buiten de ketel uitgevoerd. Daarnaast vallen storingen aan de cv-ketel en controle van de zonneboiler binnen de Rhiant-clausule van het contract."/>
    <s v="Binnen mantel cv-ketel, onderhoud cv-ketel"/>
    <n v="327705"/>
    <m/>
    <x v="0"/>
  </r>
  <r>
    <s v="2026-02-11T20:02:08.093537"/>
    <n v="3003676"/>
    <s v="W2547480"/>
    <s v="005102 - Trivire"/>
    <d v="2025-12-15T00:00:00"/>
    <s v="Trivire_Tablis_rhiant.txt"/>
    <x v="1"/>
    <s v="JA"/>
    <s v="90.0"/>
    <s v="De werkzaamheden vallen binnen het contract, omdat de monteur heeft gekeken naar een storing in de cv-installatie (GEEN CV en WW). Volgens regel 1 zijn storingen aan en onderdelen van de cv-ketel altijd binnen het contract, ook als het een dure reparatie betreft."/>
    <s v="Rhiant (Alles binnen &lt; 2 m van de ketel binnen contract)"/>
    <n v="373255"/>
    <m/>
    <x v="0"/>
  </r>
  <r>
    <s v="2026-02-11T20:02:08.093537"/>
    <n v="3003674"/>
    <s v="W2547479"/>
    <s v="005102 - Trivire"/>
    <d v="2025-12-15T00:00:00"/>
    <s v="Trivire_Tablis_rhiant.txt"/>
    <x v="1"/>
    <s v="JA"/>
    <s v="100.0"/>
    <s v="De werkbon beschrijft een storing aan de CV-installatie, waarbij de monteur aangeeft dat er 'GEEN CV en WW' is. Dit wijst erop dat de storing zich binnen de CV-ketel bevindt, wat volgens de contractvoorwaarden binnen het contract valt. De monteur heeft de storing verholpen, wat past binnen het contract voor 'CV storingen verhelpen'. Daarom classificeer ik deze werkbon als 'JA', volledig binnen het contract."/>
    <s v="Binnen de mantel van de cv-ketel"/>
    <n v="34092"/>
    <m/>
    <x v="0"/>
  </r>
  <r>
    <s v="2026-02-11T20:02:08.093537"/>
    <n v="3003433"/>
    <s v="W2547475"/>
    <s v="005102 - Trivire"/>
    <d v="2025-12-15T00:00:00"/>
    <s v="Trivire_Tablis_rhiant.txt"/>
    <x v="1"/>
    <s v="JA"/>
    <s v="90.0"/>
    <s v="De werkbon beschrijft dat de monteur een defecte radiatorkraan heeft gerepareerd, wat binnen het servicecontract valt volgens de regel 'Radiatorkranen en appendages - ALTIJD JA, ook als ze &gt; 2 meter van de ketel zitten'. De locatie van de werkzaamheden is ook binnen de ketelkast ('binnen de mantel'), dus dit valt volledig binnen het contract."/>
    <s v="Radiatorkranen, Binnen de mantel van de cv-ketel"/>
    <n v="132277"/>
    <m/>
    <x v="0"/>
  </r>
  <r>
    <s v="2026-02-11T20:02:08.093537"/>
    <n v="3003278"/>
    <s v="W2547463"/>
    <s v="005102 - Trivire"/>
    <d v="2025-12-14T00:00:00"/>
    <s v="Trivire_Tablis_rhiant.txt"/>
    <x v="0"/>
    <s v="NEE"/>
    <s v="90.0"/>
    <s v="Volgens de omschrijving in 'Wat heeft de monteur gedaan?' gaat het om een probleem met de CV-installatie dat is veroorzaakt door een derde partij. Dit valt buiten het contract en dient apart te worden gefactureerd."/>
    <s v="Het probleem is veroorzaakt door een derde partij, dit valt buiten het contract."/>
    <n v="6914699999999990"/>
    <m/>
    <x v="0"/>
  </r>
  <r>
    <s v="2026-02-11T20:02:08.093537"/>
    <n v="3003236"/>
    <s v="W2547442"/>
    <s v="005102 - Trivire"/>
    <d v="2025-12-13T00:00:00"/>
    <s v="Trivire_Tablis_rhiant.txt"/>
    <x v="1"/>
    <s v="JA"/>
    <s v="100.0"/>
    <s v="De monteur heeft een storing aan de Viessmann Vitodens 100 WB1C cv-ketel verholpen. Aangezien dit een onderdeel is van de cv-ketel, valt dit binnen het contract volgens de regels in het contract."/>
    <s v="Binnen de mantel van de cv-ketel, Storingen aan: gevelkachelkachels, gasgestookte en elektra boilers, luchtverhitters"/>
    <n v="62891"/>
    <m/>
    <x v="0"/>
  </r>
  <r>
    <s v="2026-02-11T20:05:05.393509"/>
    <n v="3003226"/>
    <s v="W2547436"/>
    <s v="005102 - Trivire"/>
    <d v="2025-12-12T00:00:00"/>
    <s v="Trivire_Tablis_rhiant.txt"/>
    <x v="0"/>
    <s v="NEE"/>
    <s v="90.0"/>
    <s v="Volgens de werkbonbeschrijving is er sprake van een 'lekkage onder de ketel', wat duidt op een lekkage buiten de ketelkast. Dit valt daarom buiten het contract volgens de regels. De monteur geeft ook aan dat de oorzaak een 'probleem door derde' is, wat ook wijst op werkzaamheden die buiten het contract vallen."/>
    <s v="Lekkage leiding BUITEN ketelkast"/>
    <n v="67938"/>
    <m/>
    <x v="0"/>
  </r>
  <r>
    <s v="2026-02-11T20:05:05.393509"/>
    <n v="3002328"/>
    <s v="W2547289"/>
    <s v="005102 - Trivire"/>
    <d v="2025-12-11T00:00:00"/>
    <s v="Trivire_Tablis_rhiant.txt"/>
    <x v="2"/>
    <s v="PARSE_ERROR"/>
    <s v="0.0"/>
    <s v="Kon response niet parsen: Expecting value: line 1 column 1 (char 0)"/>
    <m/>
    <n v="167541"/>
    <m/>
    <x v="0"/>
  </r>
  <r>
    <s v="2026-02-11T20:05:05.393509"/>
    <n v="3002257"/>
    <s v="W2547281"/>
    <s v="005102 - Trivire"/>
    <d v="2025-12-11T00:00:00"/>
    <s v="Trivire_Tablis_rhiant.txt"/>
    <x v="2"/>
    <s v="NEE"/>
    <s v="80.0"/>
    <s v="De monteur heeft een probleem met lekkage onder de cv-ketel opgelost. Volgens de contractvoorwaarden vallen lekken buiten de ketelkast (&lt; 2 meter van de ketel) buiten het contract, dus deze werkbon moet worden gefactureerd aan de klant."/>
    <s v="Lekkage ONDER de ketel is buiten de ketelkast, dus buiten contract"/>
    <n v="208633"/>
    <s v="oplossing ketelonderdelen vervangen binnen contract geen twijfel geval"/>
    <x v="1"/>
  </r>
  <r>
    <s v="2026-02-11T20:05:05.393509"/>
    <n v="3002173"/>
    <s v="W2547270"/>
    <s v="005102 - Trivire"/>
    <d v="2025-12-11T00:00:00"/>
    <s v="Trivire_Tablis_rhiant.txt"/>
    <x v="1"/>
    <s v="JA"/>
    <s v="100.0"/>
    <s v="De werkbon valt binnen het contract omdat de monteur een radiatorkraan heeft vervangen. Radiatorkranen zijn volgens het contract altijd binnen contract, ook als ze meer dan 2 meter van de ketel zitten."/>
    <s v="Radiatorkranen en appendages - Binnen contract"/>
    <n v="5.1349999999999904E+16"/>
    <m/>
    <x v="0"/>
  </r>
  <r>
    <s v="2026-02-11T20:05:05.393509"/>
    <n v="3001811"/>
    <s v="W2547240"/>
    <s v="005102 - Trivire"/>
    <d v="2025-12-11T00:00:00"/>
    <s v="Trivire_Tablis_rhiant.txt"/>
    <x v="1"/>
    <s v="JA"/>
    <s v="90.0"/>
    <s v="De werkbon valt binnen het contract, omdat de monteur gewerkt heeft aan onderdelen van de CV-ketel (expansievat) die zich binnen 2 meter van de ketel bevinden. Volgens de contractvoorwaarden vallen deze werkzaamheden binnen het contract."/>
    <s v="Rhiant (Alles binnen &lt; 2 m van de ketel binnen contract)"/>
    <n v="261378"/>
    <m/>
    <x v="0"/>
  </r>
  <r>
    <s v="2026-02-11T20:05:05.393509"/>
    <n v="3000802"/>
    <s v="W2547120"/>
    <s v="005102 - Trivire"/>
    <d v="2025-12-10T00:00:00"/>
    <s v="Trivire_Tablis_rhiant.txt"/>
    <x v="1"/>
    <s v="JA"/>
    <s v="100.0"/>
    <s v="De monteur heeft een defecte radiatorkraan in de woonkamer en slaapkamer gerepareerd. Radiatorkranen zijn ALTIJD binnen contract, ook als ze verder dan 2 meter van de ketel staan. Daarom valt deze werkzaamheid binnen het contract."/>
    <s v="Radiatorkranen zijn ALTIJD binnen contract, ongeacht locatie (Regel 1)"/>
    <n v="1179865"/>
    <m/>
    <x v="0"/>
  </r>
  <r>
    <s v="2026-02-11T20:05:05.393509"/>
    <n v="3000490"/>
    <s v="W2547085"/>
    <s v="005102 - Trivire"/>
    <d v="2025-12-10T00:00:00"/>
    <s v="Trivire_Tablis_rhiant.txt"/>
    <x v="2"/>
    <s v="NEE"/>
    <s v="80.0"/>
    <s v="De monteur heeft gemeld dat er sprake was van 'lekkage onder de ketel', wat betekent dat de lekkage zich buiten de ketelkast bevond. Volgens de contractvoorwaarden vallen dergelijke lekken buiten het contract."/>
    <s v="Lekkage leiding BUITEN ketelkast"/>
    <s v="117.15"/>
    <m/>
    <x v="0"/>
  </r>
  <r>
    <s v="2026-02-11T20:05:05.393509"/>
    <n v="3000775"/>
    <s v="W2547114"/>
    <s v="005102 - Trivire"/>
    <d v="2025-12-10T00:00:00"/>
    <s v="Trivire_Tablis_rhiant.txt"/>
    <x v="1"/>
    <s v="JA"/>
    <s v="90.0"/>
    <s v="De monteur heeft een defecte radiatorkraan in de woonkamer vervangen. Volgens regel 1 vallen radiatorkranen altijd binnen het contract, ook als ze meer dan 2 meter van de ketel zitten."/>
    <s v="Radiatorkranen en appendages"/>
    <n v="5.137E+16"/>
    <m/>
    <x v="0"/>
  </r>
  <r>
    <s v="2026-02-11T20:05:05.393509"/>
    <n v="3000791"/>
    <s v="W2547118"/>
    <s v="005102 - Trivire"/>
    <d v="2025-12-10T00:00:00"/>
    <s v="Trivire_Tablis_rhiant.txt"/>
    <x v="0"/>
    <s v="NEE"/>
    <s v="90.0"/>
    <s v="Uit de 'WAT HEEFT DE MONTEUR GEDAAN?' sectie blijkt dat er sprake is van 'lekkage onder de ketel', wat buiten de ketelkast valt. Volgens de contractvoorwaarden valt dit onder 'Lekkage leiding BUITEN ketelkast' en is dus niet binnen het contract."/>
    <s v="Lekkage onder de ketel is buiten de ketelkast (&lt; 2m van de ketel), dus valt onder 'Lekkage leiding BUITEN ketelkast' en is daarmee buiten het contract."/>
    <n v="35545"/>
    <s v="oplossing niet goed gelezen moet TWIJFEL zijn"/>
    <x v="1"/>
  </r>
  <r>
    <s v="2026-02-11T20:05:05.393509"/>
    <n v="3001034"/>
    <s v="W2547140"/>
    <s v="005102 - Trivire"/>
    <d v="2025-12-10T00:00:00"/>
    <s v="Trivire_Tablis_rhiant.txt"/>
    <x v="1"/>
    <s v="JA"/>
    <s v="90.0"/>
    <s v="De monteur heeft een lekkage onder de cv-ketel verholpen, wat een onderdeel van de ketel zelf is. Dit valt volgens regel 1 altijd binnen het contract."/>
    <s v="Ketelonderdelen, lekkage aan ketel"/>
    <n v="9745349999999990"/>
    <m/>
    <x v="0"/>
  </r>
  <r>
    <s v="2026-02-11T20:09:05.633350"/>
    <n v="2998023"/>
    <s v="W2546622"/>
    <s v="005102 - Trivire"/>
    <d v="2025-12-08T00:00:00"/>
    <s v="Trivire_Tablis_rhiant.txt"/>
    <x v="2"/>
    <s v="PARSE_ERROR"/>
    <s v="0.0"/>
    <s v="Kon response niet parsen: Expecting value: line 1 column 1 (char 0)"/>
    <m/>
    <n v="1.31809499999999E+16"/>
    <s v="oplossing: gevuld en ontlucht binnen contract geen twijfel geval"/>
    <x v="1"/>
  </r>
  <r>
    <s v="2026-02-11T20:09:05.633350"/>
    <n v="2997868"/>
    <s v="W2546524"/>
    <s v="005102 - Trivire"/>
    <d v="2025-12-08T00:00:00"/>
    <s v="Trivire_Tablis_rhiant.txt"/>
    <x v="2"/>
    <s v="PARSE_ERROR"/>
    <s v="0.0"/>
    <s v="Kon response niet parsen: Invalid control character at: line 5 column 72 (char 220)"/>
    <m/>
    <n v="3175065"/>
    <s v="oplossing: gevuld en ontlucht binnen contract geen twijfel geval"/>
    <x v="1"/>
  </r>
  <r>
    <s v="2026-02-11T20:09:05.633350"/>
    <n v="2997853"/>
    <s v="W2546520"/>
    <s v="005102 - Trivire"/>
    <d v="2025-12-08T00:00:00"/>
    <s v="Trivire_Tablis_rhiant.txt"/>
    <x v="0"/>
    <s v="NEE"/>
    <s v="90.0"/>
    <s v="De monteur constateerde een lekkage onder de ketel, wat betekent dat de lekkage buiten de ketelkast valt. Volgens de contractvoorwaarden vallen dergelijke lekken buiten het contract en moeten deze worden gefactureerd aan de klant."/>
    <s v="Lekkage leiding BUITEN ketelkast"/>
    <n v="458625"/>
    <s v="lekkage onder de ketel is &lt; 2 meter valt binnen contract"/>
    <x v="1"/>
  </r>
  <r>
    <s v="2026-02-11T20:09:05.633350"/>
    <n v="2997749"/>
    <s v="W2546472"/>
    <s v="005102 - Trivire"/>
    <d v="2025-12-08T00:00:00"/>
    <s v="Trivire_Tablis_rhiant.txt"/>
    <x v="1"/>
    <s v="JA"/>
    <s v="90.0"/>
    <s v="De monteur heeft een storing aan de kamerthermostaat verholpen, welke onderdeel is van de cv-installatie binnen 2 meter van de ketel. Volgens het contract vallen deze werkzaamheden binnen het contract."/>
    <s v="Rhiant (Alles binnen &lt; 2 m van de ketel binnen contract) - Kamerthermostaat"/>
    <n v="4.7585249999999904E+16"/>
    <m/>
    <x v="0"/>
  </r>
  <r>
    <s v="2026-02-11T20:09:05.633350"/>
    <n v="2997412"/>
    <s v="W2546419"/>
    <s v="005102 - Trivire"/>
    <d v="2025-12-07T00:00:00"/>
    <s v="Trivire_Tablis_rhiant.txt"/>
    <x v="1"/>
    <s v="JA"/>
    <s v="90.0"/>
    <s v="De werkzaamheden vallen binnen het contract, omdat de monteur ketelonderdelen (cartridge, hallsensor) heeft vervangen en de installatie heeft gevuld en ontlucht, wat allemaal binnen contract is volgens de contractvoorwaarden."/>
    <s v="Onderdelen binnen de ketel, bijvullen en ontluchten"/>
    <n v="233599"/>
    <m/>
    <x v="0"/>
  </r>
  <r>
    <s v="2026-02-11T20:09:05.633350"/>
    <n v="2997407"/>
    <s v="W2546415"/>
    <s v="005102 - Trivire"/>
    <d v="2025-12-07T00:00:00"/>
    <s v="Trivire_Tablis_rhiant.txt"/>
    <x v="1"/>
    <s v="JA"/>
    <s v="90.0"/>
    <s v="De monteur heeft een onderdeel van de cv-ketel (ontstekingstrafo) vervangen. Volgens regel 1 vallen ketelonderdelen altijd binnen het contract, ongeacht de locatie. Daarom vallen de werkzaamheden binnen het contract."/>
    <s v="Ketelonderdeel: onderdelen die deel uitmaken van de cv-ketel zelf vallen altijd binnen het contract."/>
    <n v="1728355"/>
    <m/>
    <x v="0"/>
  </r>
  <r>
    <s v="2026-02-11T20:09:05.633350"/>
    <n v="2997406"/>
    <s v="W2546414"/>
    <s v="005102 - Trivire"/>
    <d v="2025-12-07T00:00:00"/>
    <s v="Trivire_Tablis_rhiant.txt"/>
    <x v="1"/>
    <s v="JA"/>
    <s v="100.0"/>
    <s v="De monteur heeft een defecte radiatorkraan in de woonkamer vervangen. Radiatorkranen zijn ALTIJD binnen het contract, ongeacht de locatie (binnen of buiten de ketelkast). Daarom vallen deze werkzaamheden binnen het servicecontract."/>
    <s v="Radiatorkranen en appendages zijn ALTIJD binnen contract (artikel: Radiatorkranen en appendages)"/>
    <n v="3093835"/>
    <s v="In de oplossing staat : Radiator gedemonteerd en hergemonteerd ivm verstopping"/>
    <x v="1"/>
  </r>
  <r>
    <s v="2026-02-11T20:09:05.633350"/>
    <n v="2997389"/>
    <s v="W2546402"/>
    <s v="005102 - Trivire"/>
    <d v="2025-12-06T00:00:00"/>
    <s v="Trivire_Tablis_rhiant.txt"/>
    <x v="0"/>
    <s v="NEE"/>
    <s v="90.0"/>
    <s v="De werkbon beschrijft een storing aan de cv-installatie en de warmwatervoorziening. Omdat de storing niet specifiek gaat over onderdelen binnen de cv-ketel, valt dit buiten het contract. Daarnaast wordt een geiser/moederhaard genoemd, wat ook altijd buiten het contract valt."/>
    <s v="Volgens regel 2 - Vloerverwarming en geiser/moederhaard zijn altijd buiten contract"/>
    <n v="165645"/>
    <s v="installatie gevuld en ontlucht altijd in het contract"/>
    <x v="1"/>
  </r>
  <r>
    <s v="2026-02-11T20:09:05.633350"/>
    <n v="2997362"/>
    <s v="W2546391"/>
    <s v="005102 - Trivire"/>
    <d v="2025-12-06T00:00:00"/>
    <s v="Trivire_Tablis_rhiant.txt"/>
    <x v="0"/>
    <s v="NEE"/>
    <s v="90.0"/>
    <s v="De monteur geeft aan dat er een 'lekkage onder de ketel' was, wat betekent dat de lekkage zich buiten de ketelkast bevond. Volgens de contractvoorwaarden vallen dergelijke lekken buiten het contract en moeten ze apart worden gefactureerd aan de klant."/>
    <s v="Lekkage leiding BUITEN ketelkast"/>
    <n v="95461"/>
    <s v="oplossing niet gelezen bewoner niet thuis in contract"/>
    <x v="1"/>
  </r>
  <r>
    <s v="2026-02-11T20:09:05.633350"/>
    <n v="2997349"/>
    <s v="W2546388"/>
    <s v="005102 - Trivire"/>
    <d v="2025-12-06T00:00:00"/>
    <s v="Trivire_Tablis_rhiant.txt"/>
    <x v="1"/>
    <s v="JA"/>
    <s v="90.0"/>
    <s v="De werkzaamheden vallen binnen het contract, omdat de monteur een defect onderdeel (ventilator) van de cv-ketel heeft vervangen. Ketelonderdelen zoals ventilatoren zijn expliciet genoemd in de contractvoorwaarden als onderdelen die binnen het contract vallen, ongeacht de locatie ten opzichte van de ketel."/>
    <s v="Binnen contract: Ketelonderdelen (ventilator) vervangen"/>
    <n v="4804295"/>
    <m/>
    <x v="0"/>
  </r>
  <r>
    <m/>
    <m/>
    <m/>
    <m/>
    <m/>
    <m/>
    <x v="3"/>
    <m/>
    <m/>
    <m/>
    <m/>
    <m/>
    <m/>
    <x v="3"/>
  </r>
  <r>
    <m/>
    <m/>
    <m/>
    <m/>
    <m/>
    <m/>
    <x v="3"/>
    <m/>
    <m/>
    <m/>
    <m/>
    <m/>
    <m/>
    <x v="3"/>
  </r>
  <r>
    <m/>
    <m/>
    <m/>
    <m/>
    <m/>
    <m/>
    <x v="3"/>
    <m/>
    <m/>
    <m/>
    <m/>
    <m/>
    <m/>
    <x v="3"/>
  </r>
  <r>
    <m/>
    <m/>
    <m/>
    <m/>
    <m/>
    <m/>
    <x v="3"/>
    <m/>
    <m/>
    <m/>
    <m/>
    <m/>
    <m/>
    <x v="3"/>
  </r>
  <r>
    <m/>
    <m/>
    <m/>
    <m/>
    <m/>
    <m/>
    <x v="3"/>
    <m/>
    <m/>
    <m/>
    <m/>
    <m/>
    <m/>
    <x v="3"/>
  </r>
  <r>
    <m/>
    <m/>
    <m/>
    <m/>
    <m/>
    <m/>
    <x v="3"/>
    <m/>
    <m/>
    <m/>
    <m/>
    <m/>
    <m/>
    <x v="3"/>
  </r>
  <r>
    <m/>
    <m/>
    <m/>
    <m/>
    <m/>
    <m/>
    <x v="3"/>
    <m/>
    <m/>
    <m/>
    <m/>
    <m/>
    <m/>
    <x v="3"/>
  </r>
  <r>
    <m/>
    <m/>
    <m/>
    <m/>
    <m/>
    <m/>
    <x v="3"/>
    <m/>
    <m/>
    <m/>
    <m/>
    <m/>
    <m/>
    <x v="3"/>
  </r>
  <r>
    <m/>
    <m/>
    <m/>
    <m/>
    <m/>
    <m/>
    <x v="3"/>
    <m/>
    <m/>
    <m/>
    <m/>
    <m/>
    <m/>
    <x v="3"/>
  </r>
  <r>
    <m/>
    <m/>
    <m/>
    <m/>
    <m/>
    <s v="Lekkage installatie valt buiten contract"/>
    <x v="3"/>
    <m/>
    <m/>
    <m/>
    <m/>
    <m/>
    <m/>
    <x v="3"/>
  </r>
  <r>
    <m/>
    <m/>
    <m/>
    <m/>
    <m/>
    <s v="Lekkage onder de ketel binnen het contract"/>
    <x v="3"/>
    <m/>
    <m/>
    <m/>
    <m/>
    <m/>
    <m/>
    <x v="3"/>
  </r>
  <r>
    <m/>
    <m/>
    <m/>
    <m/>
    <m/>
    <m/>
    <x v="3"/>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9CF0C-EA81-4F89-AD31-3D28E4946835}" name="Draaitabel1" cacheId="4"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B14" firstHeaderRow="1" firstDataRow="1" firstDataCol="1"/>
  <pivotFields count="14">
    <pivotField showAll="0"/>
    <pivotField showAll="0"/>
    <pivotField showAll="0"/>
    <pivotField showAll="0"/>
    <pivotField showAll="0"/>
    <pivotField showAll="0"/>
    <pivotField axis="axisRow" dataField="1" showAll="0">
      <items count="5">
        <item x="1"/>
        <item x="0"/>
        <item x="2"/>
        <item h="1" x="3"/>
        <item t="default"/>
      </items>
    </pivotField>
    <pivotField showAll="0"/>
    <pivotField showAll="0"/>
    <pivotField showAll="0"/>
    <pivotField showAll="0"/>
    <pivotField showAll="0"/>
    <pivotField showAll="0"/>
    <pivotField axis="axisRow" showAll="0">
      <items count="5">
        <item x="1"/>
        <item x="0"/>
        <item x="2"/>
        <item x="3"/>
        <item t="default"/>
      </items>
    </pivotField>
  </pivotFields>
  <rowFields count="2">
    <field x="6"/>
    <field x="13"/>
  </rowFields>
  <rowItems count="11">
    <i>
      <x/>
    </i>
    <i r="1">
      <x/>
    </i>
    <i r="1">
      <x v="1"/>
    </i>
    <i r="1">
      <x v="2"/>
    </i>
    <i>
      <x v="1"/>
    </i>
    <i r="1">
      <x/>
    </i>
    <i r="1">
      <x v="1"/>
    </i>
    <i>
      <x v="2"/>
    </i>
    <i r="1">
      <x/>
    </i>
    <i r="1">
      <x v="1"/>
    </i>
    <i t="grand">
      <x/>
    </i>
  </rowItems>
  <colItems count="1">
    <i/>
  </colItems>
  <dataFields count="1">
    <dataField name="Aantal van classificati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9ABCD-E8AE-4EF2-AB1C-DE1AD6A3AC53}">
  <dimension ref="A3:B18"/>
  <sheetViews>
    <sheetView workbookViewId="0">
      <selection activeCell="I12" sqref="I12"/>
    </sheetView>
  </sheetViews>
  <sheetFormatPr defaultRowHeight="15" x14ac:dyDescent="0.25"/>
  <cols>
    <col min="1" max="1" width="11.140625" bestFit="1" customWidth="1"/>
    <col min="2" max="2" width="21.85546875" bestFit="1" customWidth="1"/>
  </cols>
  <sheetData>
    <row r="3" spans="1:2" x14ac:dyDescent="0.25">
      <c r="A3" s="3" t="s">
        <v>150</v>
      </c>
      <c r="B3" t="s">
        <v>152</v>
      </c>
    </row>
    <row r="4" spans="1:2" x14ac:dyDescent="0.25">
      <c r="A4" s="4" t="s">
        <v>21</v>
      </c>
      <c r="B4" s="5">
        <v>26</v>
      </c>
    </row>
    <row r="5" spans="1:2" x14ac:dyDescent="0.25">
      <c r="A5" s="6" t="s">
        <v>137</v>
      </c>
      <c r="B5" s="5">
        <v>2</v>
      </c>
    </row>
    <row r="6" spans="1:2" x14ac:dyDescent="0.25">
      <c r="A6" s="6" t="s">
        <v>147</v>
      </c>
      <c r="B6" s="5">
        <v>23</v>
      </c>
    </row>
    <row r="7" spans="1:2" x14ac:dyDescent="0.25">
      <c r="A7" s="6" t="s">
        <v>136</v>
      </c>
      <c r="B7" s="5">
        <v>1</v>
      </c>
    </row>
    <row r="8" spans="1:2" x14ac:dyDescent="0.25">
      <c r="A8" s="4" t="s">
        <v>16</v>
      </c>
      <c r="B8" s="5">
        <v>9</v>
      </c>
    </row>
    <row r="9" spans="1:2" x14ac:dyDescent="0.25">
      <c r="A9" s="6" t="s">
        <v>137</v>
      </c>
      <c r="B9" s="5">
        <v>5</v>
      </c>
    </row>
    <row r="10" spans="1:2" x14ac:dyDescent="0.25">
      <c r="A10" s="6" t="s">
        <v>147</v>
      </c>
      <c r="B10" s="5">
        <v>4</v>
      </c>
    </row>
    <row r="11" spans="1:2" x14ac:dyDescent="0.25">
      <c r="A11" s="4" t="s">
        <v>79</v>
      </c>
      <c r="B11" s="5">
        <v>5</v>
      </c>
    </row>
    <row r="12" spans="1:2" x14ac:dyDescent="0.25">
      <c r="A12" s="6" t="s">
        <v>137</v>
      </c>
      <c r="B12" s="5">
        <v>3</v>
      </c>
    </row>
    <row r="13" spans="1:2" x14ac:dyDescent="0.25">
      <c r="A13" s="6" t="s">
        <v>147</v>
      </c>
      <c r="B13" s="5">
        <v>2</v>
      </c>
    </row>
    <row r="14" spans="1:2" x14ac:dyDescent="0.25">
      <c r="A14" s="4" t="s">
        <v>151</v>
      </c>
      <c r="B14" s="5">
        <v>40</v>
      </c>
    </row>
    <row r="17" spans="1:2" x14ac:dyDescent="0.25">
      <c r="B17">
        <f>GETPIVOTDATA("classificatie",$A$3,"classificatie","JA","bevinding WVC","goed")+GETPIVOTDATA("classificatie",$A$3,"classificatie","NEE","bevinding WVC","goed")+GETPIVOTDATA("classificatie",$A$3,"classificatie","TWIJFEL","bevinding WVC","goed")</f>
        <v>29</v>
      </c>
    </row>
    <row r="18" spans="1:2" ht="30" x14ac:dyDescent="0.25">
      <c r="A18" s="8" t="s">
        <v>153</v>
      </c>
      <c r="B18" s="7">
        <f>B17/GETPIVOTDATA("classificatie",$A$3)</f>
        <v>0.72499999999999998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499D3-DD9A-439C-9743-4A44AA3C77F2}">
  <dimension ref="A1:N52"/>
  <sheetViews>
    <sheetView tabSelected="1" topLeftCell="D1" workbookViewId="0">
      <selection activeCell="L5" sqref="L5"/>
    </sheetView>
  </sheetViews>
  <sheetFormatPr defaultRowHeight="15" x14ac:dyDescent="0.25"/>
  <cols>
    <col min="1" max="1" width="25.28515625" bestFit="1" customWidth="1"/>
    <col min="2" max="2" width="11.28515625" bestFit="1" customWidth="1"/>
    <col min="3" max="3" width="12.7109375" bestFit="1" customWidth="1"/>
    <col min="4" max="4" width="13.28515625" bestFit="1" customWidth="1"/>
    <col min="5" max="5" width="10.28515625" bestFit="1" customWidth="1"/>
    <col min="6" max="6" width="19.42578125" bestFit="1" customWidth="1"/>
    <col min="7" max="7" width="10.7109375" bestFit="1" customWidth="1"/>
    <col min="8" max="8" width="15.7109375" bestFit="1" customWidth="1"/>
    <col min="9" max="9" width="10" bestFit="1" customWidth="1"/>
    <col min="10" max="11" width="25.7109375" customWidth="1"/>
    <col min="12" max="12" width="9.85546875" customWidth="1"/>
    <col min="13" max="13" width="17.28515625" customWidth="1"/>
    <col min="14" max="14" width="16.42578125" customWidth="1"/>
  </cols>
  <sheetData>
    <row r="1" spans="1:14" x14ac:dyDescent="0.25">
      <c r="A1" t="s">
        <v>0</v>
      </c>
      <c r="B1" t="s">
        <v>1</v>
      </c>
      <c r="C1" t="s">
        <v>2</v>
      </c>
      <c r="D1" t="s">
        <v>3</v>
      </c>
      <c r="E1" t="s">
        <v>4</v>
      </c>
      <c r="F1" t="s">
        <v>5</v>
      </c>
      <c r="G1" t="s">
        <v>6</v>
      </c>
      <c r="H1" t="s">
        <v>7</v>
      </c>
      <c r="I1" t="s">
        <v>8</v>
      </c>
      <c r="J1" t="s">
        <v>9</v>
      </c>
      <c r="K1" t="s">
        <v>10</v>
      </c>
      <c r="L1" t="s">
        <v>11</v>
      </c>
      <c r="M1" t="s">
        <v>133</v>
      </c>
      <c r="N1" t="s">
        <v>134</v>
      </c>
    </row>
    <row r="2" spans="1:14" x14ac:dyDescent="0.25">
      <c r="A2" t="s">
        <v>12</v>
      </c>
      <c r="B2">
        <v>3010988</v>
      </c>
      <c r="C2" t="s">
        <v>13</v>
      </c>
      <c r="D2" t="s">
        <v>14</v>
      </c>
      <c r="E2" s="1">
        <v>46010</v>
      </c>
      <c r="F2" t="s">
        <v>15</v>
      </c>
      <c r="G2" t="s">
        <v>16</v>
      </c>
      <c r="H2" t="s">
        <v>16</v>
      </c>
      <c r="I2" t="s">
        <v>17</v>
      </c>
      <c r="J2" t="s">
        <v>18</v>
      </c>
      <c r="K2" t="s">
        <v>19</v>
      </c>
      <c r="L2" s="2">
        <v>729815</v>
      </c>
      <c r="N2" t="s">
        <v>147</v>
      </c>
    </row>
    <row r="3" spans="1:14" x14ac:dyDescent="0.25">
      <c r="A3" t="s">
        <v>12</v>
      </c>
      <c r="B3">
        <v>3010931</v>
      </c>
      <c r="C3" t="s">
        <v>20</v>
      </c>
      <c r="D3" t="s">
        <v>14</v>
      </c>
      <c r="E3" s="1">
        <v>46009</v>
      </c>
      <c r="F3" t="s">
        <v>15</v>
      </c>
      <c r="G3" t="s">
        <v>21</v>
      </c>
      <c r="H3" t="s">
        <v>21</v>
      </c>
      <c r="I3" t="s">
        <v>17</v>
      </c>
      <c r="J3" t="s">
        <v>22</v>
      </c>
      <c r="K3" t="s">
        <v>23</v>
      </c>
      <c r="L3" s="2">
        <v>8947749999999990</v>
      </c>
      <c r="N3" t="s">
        <v>147</v>
      </c>
    </row>
    <row r="4" spans="1:14" x14ac:dyDescent="0.25">
      <c r="A4" t="s">
        <v>12</v>
      </c>
      <c r="B4">
        <v>3010648</v>
      </c>
      <c r="C4" t="s">
        <v>24</v>
      </c>
      <c r="D4" t="s">
        <v>14</v>
      </c>
      <c r="E4" s="1">
        <v>46009</v>
      </c>
      <c r="F4" t="s">
        <v>15</v>
      </c>
      <c r="G4" t="s">
        <v>21</v>
      </c>
      <c r="H4" t="s">
        <v>21</v>
      </c>
      <c r="I4" t="s">
        <v>25</v>
      </c>
      <c r="J4" t="s">
        <v>26</v>
      </c>
      <c r="K4" t="s">
        <v>23</v>
      </c>
      <c r="L4" s="2">
        <v>1.15994499999999E+16</v>
      </c>
      <c r="N4" t="s">
        <v>147</v>
      </c>
    </row>
    <row r="5" spans="1:14" x14ac:dyDescent="0.25">
      <c r="A5" t="s">
        <v>12</v>
      </c>
      <c r="B5">
        <v>3010631</v>
      </c>
      <c r="C5" t="s">
        <v>27</v>
      </c>
      <c r="D5" t="s">
        <v>14</v>
      </c>
      <c r="E5" s="1">
        <v>46009</v>
      </c>
      <c r="F5" t="s">
        <v>15</v>
      </c>
      <c r="G5" t="s">
        <v>21</v>
      </c>
      <c r="H5" t="s">
        <v>21</v>
      </c>
      <c r="I5" t="s">
        <v>25</v>
      </c>
      <c r="J5" t="s">
        <v>28</v>
      </c>
      <c r="K5" t="s">
        <v>23</v>
      </c>
      <c r="L5" s="2">
        <v>115716</v>
      </c>
      <c r="N5" t="s">
        <v>147</v>
      </c>
    </row>
    <row r="6" spans="1:14" x14ac:dyDescent="0.25">
      <c r="A6" t="s">
        <v>12</v>
      </c>
      <c r="B6">
        <v>3010455</v>
      </c>
      <c r="C6" t="s">
        <v>29</v>
      </c>
      <c r="D6" t="s">
        <v>14</v>
      </c>
      <c r="E6" s="1">
        <v>46009</v>
      </c>
      <c r="F6" t="s">
        <v>15</v>
      </c>
      <c r="G6" t="s">
        <v>21</v>
      </c>
      <c r="H6" t="s">
        <v>21</v>
      </c>
      <c r="I6" t="s">
        <v>17</v>
      </c>
      <c r="J6" t="s">
        <v>30</v>
      </c>
      <c r="K6" t="s">
        <v>23</v>
      </c>
      <c r="L6" t="s">
        <v>31</v>
      </c>
      <c r="N6" t="s">
        <v>147</v>
      </c>
    </row>
    <row r="7" spans="1:14" x14ac:dyDescent="0.25">
      <c r="A7" t="s">
        <v>12</v>
      </c>
      <c r="B7">
        <v>3009733</v>
      </c>
      <c r="C7" t="s">
        <v>32</v>
      </c>
      <c r="D7" t="s">
        <v>14</v>
      </c>
      <c r="E7" s="1">
        <v>46008</v>
      </c>
      <c r="F7" t="s">
        <v>15</v>
      </c>
      <c r="G7" t="s">
        <v>16</v>
      </c>
      <c r="H7" t="s">
        <v>16</v>
      </c>
      <c r="I7" t="s">
        <v>17</v>
      </c>
      <c r="J7" t="s">
        <v>33</v>
      </c>
      <c r="K7" t="s">
        <v>34</v>
      </c>
      <c r="L7" s="2">
        <v>205742</v>
      </c>
      <c r="N7" t="s">
        <v>147</v>
      </c>
    </row>
    <row r="8" spans="1:14" x14ac:dyDescent="0.25">
      <c r="A8" t="s">
        <v>12</v>
      </c>
      <c r="B8">
        <v>3009393</v>
      </c>
      <c r="C8" t="s">
        <v>35</v>
      </c>
      <c r="D8" t="s">
        <v>14</v>
      </c>
      <c r="E8" s="1">
        <v>46008</v>
      </c>
      <c r="F8" t="s">
        <v>15</v>
      </c>
      <c r="G8" t="s">
        <v>21</v>
      </c>
      <c r="H8" t="s">
        <v>21</v>
      </c>
      <c r="I8" t="s">
        <v>25</v>
      </c>
      <c r="J8" t="s">
        <v>36</v>
      </c>
      <c r="K8" t="s">
        <v>37</v>
      </c>
      <c r="L8" s="2">
        <v>1052495</v>
      </c>
      <c r="N8" t="s">
        <v>147</v>
      </c>
    </row>
    <row r="9" spans="1:14" x14ac:dyDescent="0.25">
      <c r="A9" t="s">
        <v>12</v>
      </c>
      <c r="B9">
        <v>3009366</v>
      </c>
      <c r="C9" t="s">
        <v>38</v>
      </c>
      <c r="D9" t="s">
        <v>14</v>
      </c>
      <c r="E9" s="1">
        <v>46008</v>
      </c>
      <c r="F9" t="s">
        <v>15</v>
      </c>
      <c r="G9" t="s">
        <v>21</v>
      </c>
      <c r="H9" t="s">
        <v>21</v>
      </c>
      <c r="I9" t="s">
        <v>25</v>
      </c>
      <c r="J9" t="s">
        <v>39</v>
      </c>
      <c r="K9" t="s">
        <v>40</v>
      </c>
      <c r="L9" s="2">
        <v>2.355205E+16</v>
      </c>
      <c r="N9" t="s">
        <v>147</v>
      </c>
    </row>
    <row r="10" spans="1:14" x14ac:dyDescent="0.25">
      <c r="A10" t="s">
        <v>12</v>
      </c>
      <c r="B10">
        <v>3009173</v>
      </c>
      <c r="C10" t="s">
        <v>41</v>
      </c>
      <c r="D10" t="s">
        <v>14</v>
      </c>
      <c r="E10" s="1">
        <v>46008</v>
      </c>
      <c r="F10" t="s">
        <v>15</v>
      </c>
      <c r="G10" t="s">
        <v>21</v>
      </c>
      <c r="H10" t="s">
        <v>21</v>
      </c>
      <c r="I10" t="s">
        <v>17</v>
      </c>
      <c r="J10" t="s">
        <v>42</v>
      </c>
      <c r="K10" t="s">
        <v>43</v>
      </c>
      <c r="L10" s="2">
        <v>21485</v>
      </c>
      <c r="N10" t="s">
        <v>147</v>
      </c>
    </row>
    <row r="11" spans="1:14" x14ac:dyDescent="0.25">
      <c r="A11" t="s">
        <v>12</v>
      </c>
      <c r="B11">
        <v>3009146</v>
      </c>
      <c r="C11" t="s">
        <v>44</v>
      </c>
      <c r="D11" t="s">
        <v>14</v>
      </c>
      <c r="E11" s="1">
        <v>46008</v>
      </c>
      <c r="F11" t="s">
        <v>15</v>
      </c>
      <c r="G11" t="s">
        <v>16</v>
      </c>
      <c r="H11" t="s">
        <v>16</v>
      </c>
      <c r="I11" t="s">
        <v>17</v>
      </c>
      <c r="J11" t="s">
        <v>45</v>
      </c>
      <c r="K11" t="s">
        <v>46</v>
      </c>
      <c r="L11" s="2">
        <v>99274</v>
      </c>
      <c r="M11" t="s">
        <v>148</v>
      </c>
      <c r="N11" t="s">
        <v>137</v>
      </c>
    </row>
    <row r="12" spans="1:14" x14ac:dyDescent="0.25">
      <c r="A12" t="s">
        <v>47</v>
      </c>
      <c r="B12">
        <v>3004668</v>
      </c>
      <c r="C12" t="s">
        <v>48</v>
      </c>
      <c r="D12" t="s">
        <v>14</v>
      </c>
      <c r="E12" s="1">
        <v>46006</v>
      </c>
      <c r="F12" t="s">
        <v>15</v>
      </c>
      <c r="G12" t="s">
        <v>21</v>
      </c>
      <c r="H12" t="s">
        <v>21</v>
      </c>
      <c r="I12" t="s">
        <v>25</v>
      </c>
      <c r="J12" t="s">
        <v>49</v>
      </c>
      <c r="K12" t="s">
        <v>50</v>
      </c>
      <c r="L12" s="2">
        <v>71646</v>
      </c>
      <c r="M12" t="s">
        <v>135</v>
      </c>
      <c r="N12" t="s">
        <v>136</v>
      </c>
    </row>
    <row r="13" spans="1:14" x14ac:dyDescent="0.25">
      <c r="A13" t="s">
        <v>47</v>
      </c>
      <c r="B13">
        <v>3004600</v>
      </c>
      <c r="C13" t="s">
        <v>51</v>
      </c>
      <c r="D13" t="s">
        <v>14</v>
      </c>
      <c r="E13" s="1">
        <v>46006</v>
      </c>
      <c r="F13" t="s">
        <v>15</v>
      </c>
      <c r="G13" t="s">
        <v>21</v>
      </c>
      <c r="H13" t="s">
        <v>21</v>
      </c>
      <c r="I13" t="s">
        <v>17</v>
      </c>
      <c r="J13" t="s">
        <v>52</v>
      </c>
      <c r="K13" t="s">
        <v>43</v>
      </c>
      <c r="L13" s="2">
        <v>88707</v>
      </c>
      <c r="N13" t="s">
        <v>147</v>
      </c>
    </row>
    <row r="14" spans="1:14" x14ac:dyDescent="0.25">
      <c r="A14" t="s">
        <v>47</v>
      </c>
      <c r="B14">
        <v>3004558</v>
      </c>
      <c r="C14" t="s">
        <v>53</v>
      </c>
      <c r="D14" t="s">
        <v>14</v>
      </c>
      <c r="E14" s="1">
        <v>46006</v>
      </c>
      <c r="F14" t="s">
        <v>15</v>
      </c>
      <c r="G14" t="s">
        <v>21</v>
      </c>
      <c r="H14" t="s">
        <v>21</v>
      </c>
      <c r="I14" t="s">
        <v>17</v>
      </c>
      <c r="J14" t="s">
        <v>54</v>
      </c>
      <c r="K14" t="s">
        <v>55</v>
      </c>
      <c r="L14" s="2">
        <v>865775</v>
      </c>
      <c r="M14" t="s">
        <v>149</v>
      </c>
      <c r="N14" t="s">
        <v>137</v>
      </c>
    </row>
    <row r="15" spans="1:14" x14ac:dyDescent="0.25">
      <c r="A15" t="s">
        <v>47</v>
      </c>
      <c r="B15">
        <v>3004200</v>
      </c>
      <c r="C15" t="s">
        <v>56</v>
      </c>
      <c r="D15" t="s">
        <v>14</v>
      </c>
      <c r="E15" s="1">
        <v>46006</v>
      </c>
      <c r="F15" t="s">
        <v>15</v>
      </c>
      <c r="G15" t="s">
        <v>21</v>
      </c>
      <c r="H15" t="s">
        <v>21</v>
      </c>
      <c r="I15" t="s">
        <v>17</v>
      </c>
      <c r="J15" t="s">
        <v>57</v>
      </c>
      <c r="K15" t="s">
        <v>58</v>
      </c>
      <c r="L15" s="2">
        <v>41659</v>
      </c>
      <c r="N15" t="s">
        <v>147</v>
      </c>
    </row>
    <row r="16" spans="1:14" x14ac:dyDescent="0.25">
      <c r="A16" t="s">
        <v>47</v>
      </c>
      <c r="B16">
        <v>3004000</v>
      </c>
      <c r="C16" t="s">
        <v>59</v>
      </c>
      <c r="D16" t="s">
        <v>14</v>
      </c>
      <c r="E16" s="1">
        <v>46006</v>
      </c>
      <c r="F16" t="s">
        <v>15</v>
      </c>
      <c r="G16" t="s">
        <v>21</v>
      </c>
      <c r="H16" t="s">
        <v>21</v>
      </c>
      <c r="I16" t="s">
        <v>17</v>
      </c>
      <c r="J16" t="s">
        <v>60</v>
      </c>
      <c r="K16" t="s">
        <v>61</v>
      </c>
      <c r="L16" s="2">
        <v>327705</v>
      </c>
      <c r="N16" t="s">
        <v>147</v>
      </c>
    </row>
    <row r="17" spans="1:14" x14ac:dyDescent="0.25">
      <c r="A17" t="s">
        <v>47</v>
      </c>
      <c r="B17">
        <v>3003676</v>
      </c>
      <c r="C17" t="s">
        <v>62</v>
      </c>
      <c r="D17" t="s">
        <v>14</v>
      </c>
      <c r="E17" s="1">
        <v>46006</v>
      </c>
      <c r="F17" t="s">
        <v>15</v>
      </c>
      <c r="G17" t="s">
        <v>21</v>
      </c>
      <c r="H17" t="s">
        <v>21</v>
      </c>
      <c r="I17" t="s">
        <v>17</v>
      </c>
      <c r="J17" t="s">
        <v>63</v>
      </c>
      <c r="K17" t="s">
        <v>23</v>
      </c>
      <c r="L17" s="2">
        <v>373255</v>
      </c>
      <c r="N17" t="s">
        <v>147</v>
      </c>
    </row>
    <row r="18" spans="1:14" x14ac:dyDescent="0.25">
      <c r="A18" t="s">
        <v>47</v>
      </c>
      <c r="B18">
        <v>3003674</v>
      </c>
      <c r="C18" t="s">
        <v>64</v>
      </c>
      <c r="D18" t="s">
        <v>14</v>
      </c>
      <c r="E18" s="1">
        <v>46006</v>
      </c>
      <c r="F18" t="s">
        <v>15</v>
      </c>
      <c r="G18" t="s">
        <v>21</v>
      </c>
      <c r="H18" t="s">
        <v>21</v>
      </c>
      <c r="I18" t="s">
        <v>25</v>
      </c>
      <c r="J18" t="s">
        <v>65</v>
      </c>
      <c r="K18" t="s">
        <v>43</v>
      </c>
      <c r="L18" s="2">
        <v>34092</v>
      </c>
      <c r="N18" t="s">
        <v>147</v>
      </c>
    </row>
    <row r="19" spans="1:14" x14ac:dyDescent="0.25">
      <c r="A19" t="s">
        <v>47</v>
      </c>
      <c r="B19">
        <v>3003433</v>
      </c>
      <c r="C19" t="s">
        <v>66</v>
      </c>
      <c r="D19" t="s">
        <v>14</v>
      </c>
      <c r="E19" s="1">
        <v>46006</v>
      </c>
      <c r="F19" t="s">
        <v>15</v>
      </c>
      <c r="G19" t="s">
        <v>21</v>
      </c>
      <c r="H19" t="s">
        <v>21</v>
      </c>
      <c r="I19" t="s">
        <v>17</v>
      </c>
      <c r="J19" t="s">
        <v>67</v>
      </c>
      <c r="K19" t="s">
        <v>68</v>
      </c>
      <c r="L19" s="2">
        <v>132277</v>
      </c>
      <c r="N19" t="s">
        <v>147</v>
      </c>
    </row>
    <row r="20" spans="1:14" x14ac:dyDescent="0.25">
      <c r="A20" t="s">
        <v>47</v>
      </c>
      <c r="B20">
        <v>3003278</v>
      </c>
      <c r="C20" t="s">
        <v>69</v>
      </c>
      <c r="D20" t="s">
        <v>14</v>
      </c>
      <c r="E20" s="1">
        <v>46005</v>
      </c>
      <c r="F20" t="s">
        <v>15</v>
      </c>
      <c r="G20" t="s">
        <v>16</v>
      </c>
      <c r="H20" t="s">
        <v>16</v>
      </c>
      <c r="I20" t="s">
        <v>17</v>
      </c>
      <c r="J20" t="s">
        <v>70</v>
      </c>
      <c r="K20" t="s">
        <v>71</v>
      </c>
      <c r="L20" s="2">
        <v>6914699999999990</v>
      </c>
      <c r="N20" t="s">
        <v>147</v>
      </c>
    </row>
    <row r="21" spans="1:14" x14ac:dyDescent="0.25">
      <c r="A21" t="s">
        <v>47</v>
      </c>
      <c r="B21">
        <v>3003236</v>
      </c>
      <c r="C21" t="s">
        <v>72</v>
      </c>
      <c r="D21" t="s">
        <v>14</v>
      </c>
      <c r="E21" s="1">
        <v>46004</v>
      </c>
      <c r="F21" t="s">
        <v>15</v>
      </c>
      <c r="G21" t="s">
        <v>21</v>
      </c>
      <c r="H21" t="s">
        <v>21</v>
      </c>
      <c r="I21" t="s">
        <v>25</v>
      </c>
      <c r="J21" t="s">
        <v>73</v>
      </c>
      <c r="K21" t="s">
        <v>74</v>
      </c>
      <c r="L21" s="2">
        <v>62891</v>
      </c>
      <c r="N21" t="s">
        <v>147</v>
      </c>
    </row>
    <row r="22" spans="1:14" x14ac:dyDescent="0.25">
      <c r="A22" t="s">
        <v>75</v>
      </c>
      <c r="B22">
        <v>3003226</v>
      </c>
      <c r="C22" t="s">
        <v>76</v>
      </c>
      <c r="D22" t="s">
        <v>14</v>
      </c>
      <c r="E22" s="1">
        <v>46003</v>
      </c>
      <c r="F22" t="s">
        <v>15</v>
      </c>
      <c r="G22" t="s">
        <v>16</v>
      </c>
      <c r="H22" t="s">
        <v>16</v>
      </c>
      <c r="I22" t="s">
        <v>17</v>
      </c>
      <c r="J22" t="s">
        <v>77</v>
      </c>
      <c r="K22" t="s">
        <v>46</v>
      </c>
      <c r="L22" s="2">
        <v>67938</v>
      </c>
      <c r="N22" t="s">
        <v>147</v>
      </c>
    </row>
    <row r="23" spans="1:14" x14ac:dyDescent="0.25">
      <c r="A23" t="s">
        <v>75</v>
      </c>
      <c r="B23">
        <v>3002328</v>
      </c>
      <c r="C23" t="s">
        <v>78</v>
      </c>
      <c r="D23" t="s">
        <v>14</v>
      </c>
      <c r="E23" s="1">
        <v>46002</v>
      </c>
      <c r="F23" t="s">
        <v>15</v>
      </c>
      <c r="G23" t="s">
        <v>79</v>
      </c>
      <c r="H23" t="s">
        <v>80</v>
      </c>
      <c r="I23" t="s">
        <v>81</v>
      </c>
      <c r="J23" t="s">
        <v>82</v>
      </c>
      <c r="L23" s="2">
        <v>167541</v>
      </c>
      <c r="N23" t="s">
        <v>147</v>
      </c>
    </row>
    <row r="24" spans="1:14" x14ac:dyDescent="0.25">
      <c r="A24" t="s">
        <v>75</v>
      </c>
      <c r="B24">
        <v>3002257</v>
      </c>
      <c r="C24" t="s">
        <v>83</v>
      </c>
      <c r="D24" t="s">
        <v>14</v>
      </c>
      <c r="E24" s="1">
        <v>46002</v>
      </c>
      <c r="F24" t="s">
        <v>15</v>
      </c>
      <c r="G24" t="s">
        <v>79</v>
      </c>
      <c r="H24" t="s">
        <v>16</v>
      </c>
      <c r="I24" t="s">
        <v>84</v>
      </c>
      <c r="J24" t="s">
        <v>85</v>
      </c>
      <c r="K24" t="s">
        <v>86</v>
      </c>
      <c r="L24" s="2">
        <v>208633</v>
      </c>
      <c r="M24" t="s">
        <v>145</v>
      </c>
      <c r="N24" t="s">
        <v>137</v>
      </c>
    </row>
    <row r="25" spans="1:14" x14ac:dyDescent="0.25">
      <c r="A25" t="s">
        <v>75</v>
      </c>
      <c r="B25">
        <v>3002173</v>
      </c>
      <c r="C25" t="s">
        <v>87</v>
      </c>
      <c r="D25" t="s">
        <v>14</v>
      </c>
      <c r="E25" s="1">
        <v>46002</v>
      </c>
      <c r="F25" t="s">
        <v>15</v>
      </c>
      <c r="G25" t="s">
        <v>21</v>
      </c>
      <c r="H25" t="s">
        <v>21</v>
      </c>
      <c r="I25" t="s">
        <v>25</v>
      </c>
      <c r="J25" t="s">
        <v>88</v>
      </c>
      <c r="K25" t="s">
        <v>89</v>
      </c>
      <c r="L25" s="2">
        <v>5.1349999999999904E+16</v>
      </c>
      <c r="N25" t="s">
        <v>147</v>
      </c>
    </row>
    <row r="26" spans="1:14" x14ac:dyDescent="0.25">
      <c r="A26" t="s">
        <v>75</v>
      </c>
      <c r="B26">
        <v>3001811</v>
      </c>
      <c r="C26" t="s">
        <v>90</v>
      </c>
      <c r="D26" t="s">
        <v>14</v>
      </c>
      <c r="E26" s="1">
        <v>46002</v>
      </c>
      <c r="F26" t="s">
        <v>15</v>
      </c>
      <c r="G26" t="s">
        <v>21</v>
      </c>
      <c r="H26" t="s">
        <v>21</v>
      </c>
      <c r="I26" t="s">
        <v>17</v>
      </c>
      <c r="J26" t="s">
        <v>91</v>
      </c>
      <c r="K26" t="s">
        <v>23</v>
      </c>
      <c r="L26" s="2">
        <v>261378</v>
      </c>
      <c r="N26" t="s">
        <v>147</v>
      </c>
    </row>
    <row r="27" spans="1:14" x14ac:dyDescent="0.25">
      <c r="A27" t="s">
        <v>75</v>
      </c>
      <c r="B27">
        <v>3000802</v>
      </c>
      <c r="C27" t="s">
        <v>92</v>
      </c>
      <c r="D27" t="s">
        <v>14</v>
      </c>
      <c r="E27" s="1">
        <v>46001</v>
      </c>
      <c r="F27" t="s">
        <v>15</v>
      </c>
      <c r="G27" t="s">
        <v>21</v>
      </c>
      <c r="H27" t="s">
        <v>21</v>
      </c>
      <c r="I27" t="s">
        <v>25</v>
      </c>
      <c r="J27" t="s">
        <v>93</v>
      </c>
      <c r="K27" t="s">
        <v>94</v>
      </c>
      <c r="L27" s="2">
        <v>1179865</v>
      </c>
      <c r="N27" t="s">
        <v>147</v>
      </c>
    </row>
    <row r="28" spans="1:14" x14ac:dyDescent="0.25">
      <c r="A28" t="s">
        <v>75</v>
      </c>
      <c r="B28">
        <v>3000490</v>
      </c>
      <c r="C28" t="s">
        <v>95</v>
      </c>
      <c r="D28" t="s">
        <v>14</v>
      </c>
      <c r="E28" s="1">
        <v>46001</v>
      </c>
      <c r="F28" t="s">
        <v>15</v>
      </c>
      <c r="G28" t="s">
        <v>79</v>
      </c>
      <c r="H28" t="s">
        <v>16</v>
      </c>
      <c r="I28" t="s">
        <v>84</v>
      </c>
      <c r="J28" t="s">
        <v>96</v>
      </c>
      <c r="K28" t="s">
        <v>46</v>
      </c>
      <c r="L28" t="s">
        <v>97</v>
      </c>
      <c r="N28" t="s">
        <v>147</v>
      </c>
    </row>
    <row r="29" spans="1:14" x14ac:dyDescent="0.25">
      <c r="A29" t="s">
        <v>75</v>
      </c>
      <c r="B29">
        <v>3000775</v>
      </c>
      <c r="C29" t="s">
        <v>98</v>
      </c>
      <c r="D29" t="s">
        <v>14</v>
      </c>
      <c r="E29" s="1">
        <v>46001</v>
      </c>
      <c r="F29" t="s">
        <v>15</v>
      </c>
      <c r="G29" t="s">
        <v>21</v>
      </c>
      <c r="H29" t="s">
        <v>21</v>
      </c>
      <c r="I29" t="s">
        <v>17</v>
      </c>
      <c r="J29" t="s">
        <v>99</v>
      </c>
      <c r="K29" t="s">
        <v>100</v>
      </c>
      <c r="L29" s="2">
        <v>5.137E+16</v>
      </c>
      <c r="N29" t="s">
        <v>147</v>
      </c>
    </row>
    <row r="30" spans="1:14" x14ac:dyDescent="0.25">
      <c r="A30" t="s">
        <v>75</v>
      </c>
      <c r="B30">
        <v>3000791</v>
      </c>
      <c r="C30" t="s">
        <v>101</v>
      </c>
      <c r="D30" t="s">
        <v>14</v>
      </c>
      <c r="E30" s="1">
        <v>46001</v>
      </c>
      <c r="F30" t="s">
        <v>15</v>
      </c>
      <c r="G30" t="s">
        <v>16</v>
      </c>
      <c r="H30" t="s">
        <v>16</v>
      </c>
      <c r="I30" t="s">
        <v>17</v>
      </c>
      <c r="J30" t="s">
        <v>102</v>
      </c>
      <c r="K30" t="s">
        <v>103</v>
      </c>
      <c r="L30" s="2">
        <v>35545</v>
      </c>
      <c r="M30" t="s">
        <v>139</v>
      </c>
      <c r="N30" t="s">
        <v>137</v>
      </c>
    </row>
    <row r="31" spans="1:14" x14ac:dyDescent="0.25">
      <c r="A31" t="s">
        <v>75</v>
      </c>
      <c r="B31">
        <v>3001034</v>
      </c>
      <c r="C31" t="s">
        <v>104</v>
      </c>
      <c r="D31" t="s">
        <v>14</v>
      </c>
      <c r="E31" s="1">
        <v>46001</v>
      </c>
      <c r="F31" t="s">
        <v>15</v>
      </c>
      <c r="G31" t="s">
        <v>21</v>
      </c>
      <c r="H31" t="s">
        <v>21</v>
      </c>
      <c r="I31" t="s">
        <v>17</v>
      </c>
      <c r="J31" t="s">
        <v>105</v>
      </c>
      <c r="K31" t="s">
        <v>106</v>
      </c>
      <c r="L31" s="2">
        <v>9745349999999990</v>
      </c>
      <c r="N31" t="s">
        <v>147</v>
      </c>
    </row>
    <row r="32" spans="1:14" x14ac:dyDescent="0.25">
      <c r="A32" t="s">
        <v>107</v>
      </c>
      <c r="B32">
        <v>2998023</v>
      </c>
      <c r="C32" t="s">
        <v>108</v>
      </c>
      <c r="D32" t="s">
        <v>14</v>
      </c>
      <c r="E32" s="1">
        <v>45999</v>
      </c>
      <c r="F32" t="s">
        <v>15</v>
      </c>
      <c r="G32" t="s">
        <v>79</v>
      </c>
      <c r="H32" t="s">
        <v>80</v>
      </c>
      <c r="I32" t="s">
        <v>81</v>
      </c>
      <c r="J32" t="s">
        <v>82</v>
      </c>
      <c r="L32" s="2">
        <v>1.31809499999999E+16</v>
      </c>
      <c r="M32" t="s">
        <v>146</v>
      </c>
      <c r="N32" t="s">
        <v>137</v>
      </c>
    </row>
    <row r="33" spans="1:14" x14ac:dyDescent="0.25">
      <c r="A33" t="s">
        <v>107</v>
      </c>
      <c r="B33">
        <v>2997868</v>
      </c>
      <c r="C33" t="s">
        <v>109</v>
      </c>
      <c r="D33" t="s">
        <v>14</v>
      </c>
      <c r="E33" s="1">
        <v>45999</v>
      </c>
      <c r="F33" t="s">
        <v>15</v>
      </c>
      <c r="G33" t="s">
        <v>79</v>
      </c>
      <c r="H33" t="s">
        <v>80</v>
      </c>
      <c r="I33" t="s">
        <v>81</v>
      </c>
      <c r="J33" t="s">
        <v>110</v>
      </c>
      <c r="L33" s="2">
        <v>3175065</v>
      </c>
      <c r="M33" t="s">
        <v>146</v>
      </c>
      <c r="N33" t="s">
        <v>137</v>
      </c>
    </row>
    <row r="34" spans="1:14" x14ac:dyDescent="0.25">
      <c r="A34" t="s">
        <v>107</v>
      </c>
      <c r="B34">
        <v>2997853</v>
      </c>
      <c r="C34" t="s">
        <v>111</v>
      </c>
      <c r="D34" t="s">
        <v>14</v>
      </c>
      <c r="E34" s="1">
        <v>45999</v>
      </c>
      <c r="F34" t="s">
        <v>15</v>
      </c>
      <c r="G34" t="s">
        <v>16</v>
      </c>
      <c r="H34" t="s">
        <v>16</v>
      </c>
      <c r="I34" t="s">
        <v>17</v>
      </c>
      <c r="J34" t="s">
        <v>112</v>
      </c>
      <c r="K34" t="s">
        <v>46</v>
      </c>
      <c r="L34" s="2">
        <v>458625</v>
      </c>
      <c r="M34" t="s">
        <v>140</v>
      </c>
      <c r="N34" t="s">
        <v>137</v>
      </c>
    </row>
    <row r="35" spans="1:14" x14ac:dyDescent="0.25">
      <c r="A35" t="s">
        <v>107</v>
      </c>
      <c r="B35">
        <v>2997749</v>
      </c>
      <c r="C35" t="s">
        <v>113</v>
      </c>
      <c r="D35" t="s">
        <v>14</v>
      </c>
      <c r="E35" s="1">
        <v>45999</v>
      </c>
      <c r="F35" t="s">
        <v>15</v>
      </c>
      <c r="G35" t="s">
        <v>21</v>
      </c>
      <c r="H35" t="s">
        <v>21</v>
      </c>
      <c r="I35" t="s">
        <v>17</v>
      </c>
      <c r="J35" t="s">
        <v>114</v>
      </c>
      <c r="K35" t="s">
        <v>115</v>
      </c>
      <c r="L35" s="2">
        <v>4.7585249999999904E+16</v>
      </c>
      <c r="N35" t="s">
        <v>147</v>
      </c>
    </row>
    <row r="36" spans="1:14" x14ac:dyDescent="0.25">
      <c r="A36" t="s">
        <v>107</v>
      </c>
      <c r="B36">
        <v>2997412</v>
      </c>
      <c r="C36" t="s">
        <v>116</v>
      </c>
      <c r="D36" t="s">
        <v>14</v>
      </c>
      <c r="E36" s="1">
        <v>45998</v>
      </c>
      <c r="F36" t="s">
        <v>15</v>
      </c>
      <c r="G36" t="s">
        <v>21</v>
      </c>
      <c r="H36" t="s">
        <v>21</v>
      </c>
      <c r="I36" t="s">
        <v>17</v>
      </c>
      <c r="J36" t="s">
        <v>117</v>
      </c>
      <c r="K36" t="s">
        <v>118</v>
      </c>
      <c r="L36" s="2">
        <v>233599</v>
      </c>
      <c r="N36" t="s">
        <v>147</v>
      </c>
    </row>
    <row r="37" spans="1:14" x14ac:dyDescent="0.25">
      <c r="A37" t="s">
        <v>107</v>
      </c>
      <c r="B37">
        <v>2997407</v>
      </c>
      <c r="C37" t="s">
        <v>119</v>
      </c>
      <c r="D37" t="s">
        <v>14</v>
      </c>
      <c r="E37" s="1">
        <v>45998</v>
      </c>
      <c r="F37" t="s">
        <v>15</v>
      </c>
      <c r="G37" t="s">
        <v>21</v>
      </c>
      <c r="H37" t="s">
        <v>21</v>
      </c>
      <c r="I37" t="s">
        <v>17</v>
      </c>
      <c r="J37" t="s">
        <v>120</v>
      </c>
      <c r="K37" t="s">
        <v>121</v>
      </c>
      <c r="L37" s="2">
        <v>1728355</v>
      </c>
      <c r="N37" t="s">
        <v>147</v>
      </c>
    </row>
    <row r="38" spans="1:14" x14ac:dyDescent="0.25">
      <c r="A38" t="s">
        <v>107</v>
      </c>
      <c r="B38">
        <v>2997406</v>
      </c>
      <c r="C38" t="s">
        <v>122</v>
      </c>
      <c r="D38" t="s">
        <v>14</v>
      </c>
      <c r="E38" s="1">
        <v>45998</v>
      </c>
      <c r="F38" t="s">
        <v>15</v>
      </c>
      <c r="G38" t="s">
        <v>21</v>
      </c>
      <c r="H38" t="s">
        <v>21</v>
      </c>
      <c r="I38" t="s">
        <v>25</v>
      </c>
      <c r="J38" t="s">
        <v>123</v>
      </c>
      <c r="K38" t="s">
        <v>124</v>
      </c>
      <c r="L38" s="2">
        <v>3093835</v>
      </c>
      <c r="M38" t="s">
        <v>138</v>
      </c>
      <c r="N38" t="s">
        <v>137</v>
      </c>
    </row>
    <row r="39" spans="1:14" x14ac:dyDescent="0.25">
      <c r="A39" t="s">
        <v>107</v>
      </c>
      <c r="B39">
        <v>2997389</v>
      </c>
      <c r="C39" t="s">
        <v>125</v>
      </c>
      <c r="D39" t="s">
        <v>14</v>
      </c>
      <c r="E39" s="1">
        <v>45997</v>
      </c>
      <c r="F39" t="s">
        <v>15</v>
      </c>
      <c r="G39" t="s">
        <v>16</v>
      </c>
      <c r="H39" t="s">
        <v>16</v>
      </c>
      <c r="I39" t="s">
        <v>17</v>
      </c>
      <c r="J39" t="s">
        <v>126</v>
      </c>
      <c r="K39" t="s">
        <v>127</v>
      </c>
      <c r="L39" s="2">
        <v>165645</v>
      </c>
      <c r="M39" t="s">
        <v>143</v>
      </c>
      <c r="N39" t="s">
        <v>137</v>
      </c>
    </row>
    <row r="40" spans="1:14" x14ac:dyDescent="0.25">
      <c r="A40" t="s">
        <v>107</v>
      </c>
      <c r="B40">
        <v>2997362</v>
      </c>
      <c r="C40" t="s">
        <v>128</v>
      </c>
      <c r="D40" t="s">
        <v>14</v>
      </c>
      <c r="E40" s="1">
        <v>45997</v>
      </c>
      <c r="F40" t="s">
        <v>15</v>
      </c>
      <c r="G40" t="s">
        <v>16</v>
      </c>
      <c r="H40" t="s">
        <v>16</v>
      </c>
      <c r="I40" t="s">
        <v>17</v>
      </c>
      <c r="J40" t="s">
        <v>129</v>
      </c>
      <c r="K40" t="s">
        <v>46</v>
      </c>
      <c r="L40" s="2">
        <v>95461</v>
      </c>
      <c r="M40" t="s">
        <v>144</v>
      </c>
      <c r="N40" t="s">
        <v>137</v>
      </c>
    </row>
    <row r="41" spans="1:14" x14ac:dyDescent="0.25">
      <c r="A41" t="s">
        <v>107</v>
      </c>
      <c r="B41">
        <v>2997349</v>
      </c>
      <c r="C41" t="s">
        <v>130</v>
      </c>
      <c r="D41" t="s">
        <v>14</v>
      </c>
      <c r="E41" s="1">
        <v>45997</v>
      </c>
      <c r="F41" t="s">
        <v>15</v>
      </c>
      <c r="G41" t="s">
        <v>21</v>
      </c>
      <c r="H41" t="s">
        <v>21</v>
      </c>
      <c r="I41" t="s">
        <v>17</v>
      </c>
      <c r="J41" t="s">
        <v>131</v>
      </c>
      <c r="K41" t="s">
        <v>132</v>
      </c>
      <c r="L41" s="2">
        <v>4804295</v>
      </c>
      <c r="N41" t="s">
        <v>147</v>
      </c>
    </row>
    <row r="51" spans="6:6" x14ac:dyDescent="0.25">
      <c r="F51" t="s">
        <v>141</v>
      </c>
    </row>
    <row r="52" spans="6:6" x14ac:dyDescent="0.25">
      <c r="F52" t="s">
        <v>142</v>
      </c>
    </row>
  </sheetData>
  <autoFilter ref="A1:N41" xr:uid="{C46499D3-DD9A-439C-9743-4A44AA3C77F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Blad1</vt:lpstr>
      <vt:lpstr>classificatie_geschiedenis_v2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Gerrit Smits</dc:creator>
  <cp:lastModifiedBy>Gerrit Smits</cp:lastModifiedBy>
  <dcterms:created xsi:type="dcterms:W3CDTF">2026-02-11T20:10:31Z</dcterms:created>
  <dcterms:modified xsi:type="dcterms:W3CDTF">2026-02-12T10:43:41Z</dcterms:modified>
</cp:coreProperties>
</file>
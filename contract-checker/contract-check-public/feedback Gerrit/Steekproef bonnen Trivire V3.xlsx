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kemkensnl-my.sharepoint.com/personal/g_smits_wvc_nl/Documents/Gegevens/Data exel/WVC/2026/AI tool factureren/"/>
    </mc:Choice>
  </mc:AlternateContent>
  <xr:revisionPtr revIDLastSave="101" documentId="8_{25504973-E8DC-4077-94BF-DAC4B217220A}" xr6:coauthVersionLast="47" xr6:coauthVersionMax="47" xr10:uidLastSave="{3BD0B78A-7F3A-43B5-9559-72201D62BC99}"/>
  <bookViews>
    <workbookView xWindow="-120" yWindow="-120" windowWidth="29040" windowHeight="15720" activeTab="1" xr2:uid="{57A7E785-E330-47EC-9E6B-C3BB9CD00B86}"/>
  </bookViews>
  <sheets>
    <sheet name="Blad1" sheetId="3" r:id="rId1"/>
    <sheet name="classificatie_geschiedenis_V3" sheetId="1" r:id="rId2"/>
    <sheet name="V2 geschiedenis" sheetId="2" r:id="rId3"/>
  </sheets>
  <definedNames>
    <definedName name="_xlnm._FilterDatabase" localSheetId="1" hidden="1">classificatie_geschiedenis_V3!$A$1:$N$41</definedName>
    <definedName name="_xlnm._FilterDatabase" localSheetId="2" hidden="1">'V2 geschiedenis'!$A$1:$N$41</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B15" i="3"/>
  <c r="N3" i="1"/>
  <c r="N4" i="1"/>
  <c r="N5" i="1"/>
  <c r="N6" i="1"/>
  <c r="N11" i="1"/>
  <c r="N17" i="1"/>
  <c r="N21" i="1"/>
  <c r="N22" i="1"/>
  <c r="N31" i="1"/>
</calcChain>
</file>

<file path=xl/sharedStrings.xml><?xml version="1.0" encoding="utf-8"?>
<sst xmlns="http://schemas.openxmlformats.org/spreadsheetml/2006/main" count="869" uniqueCount="258">
  <si>
    <t>timestamp</t>
  </si>
  <si>
    <t>werkbon_key</t>
  </si>
  <si>
    <t>werkbon_code</t>
  </si>
  <si>
    <t>debiteur</t>
  </si>
  <si>
    <t>datum</t>
  </si>
  <si>
    <t>contract_filename</t>
  </si>
  <si>
    <t>classificatie</t>
  </si>
  <si>
    <t>basis_classificatie</t>
  </si>
  <si>
    <t>confidence</t>
  </si>
  <si>
    <t>toelichting</t>
  </si>
  <si>
    <t>contract_referentie</t>
  </si>
  <si>
    <t>totaal_kosten</t>
  </si>
  <si>
    <t>2026-02-14T13:22:28.090046</t>
  </si>
  <si>
    <t>W2548509</t>
  </si>
  <si>
    <t>005102 - Trivire</t>
  </si>
  <si>
    <t>Trivire_Tablis_rhiant.txt</t>
  </si>
  <si>
    <t>NEE</t>
  </si>
  <si>
    <t>100.0</t>
  </si>
  <si>
    <t>De werkbon valt buiten het contract, omdat de oorzaakcode 900 'Probleem door derde' is. Dit betekent dat de storing is veroorzaakt door een derde partij, en niet door een defect aan de cv-ketel of installatie. Volgens regel 0 vallen werkzaamheden met oorzaakcode 900 altijd buiten het contract, ongeacht andere regels.</t>
  </si>
  <si>
    <t>Oorzaakcode 900 - Probleem door derde</t>
  </si>
  <si>
    <t>W2548498</t>
  </si>
  <si>
    <t>JA</t>
  </si>
  <si>
    <t>90.0</t>
  </si>
  <si>
    <t>De monteur heeft een storing aan de cv-ketel verholpen door het vervangen van het expansievat, de automatische ontluchter en het veiligheidsventiel. Deze onderdelen maken deel uit van de cv-ketel zelf en vallen daarom binnen het contract volgens de contractvoorwaarden.</t>
  </si>
  <si>
    <t>Binnen de mantel van de cv-ketel, onderdelen van de cv-ketel</t>
  </si>
  <si>
    <t>W2548457</t>
  </si>
  <si>
    <t>De monteur heeft de installatie bijgevuld, wat volgens het contract altijd binnen het contract valt. De storingscode 005.1 'Installatie bijvullen' bevestigt dit.</t>
  </si>
  <si>
    <t>Binnen contract - Installatie vullen en ontluchten</t>
  </si>
  <si>
    <t>W2548454</t>
  </si>
  <si>
    <t>De monteur heeft de cv-installatie gevuld en ontlucht, wat volgens het contract binnen de dekking valt. De storingscode 'GEEN CV en WW' en oorzaakcode 'Installatie probleem' wijzen erop dat er een probleem was met de cv-installatie zelf, wat binnen het contract wordt behandeld.</t>
  </si>
  <si>
    <t>Binnen de mantel van de cv-ketel: bijvullen en ontluchten</t>
  </si>
  <si>
    <t>W2548428</t>
  </si>
  <si>
    <t>De monteur heeft onderdelen van de cv-ketel zelf vervangen, zoals de actuator, driewegklep en cartridge. Dit valt binnen het contract volgens de regels 'Ketelonderdelen' en 'Binnen de mantel (&lt; 2m van cv-ketel)'.</t>
  </si>
  <si>
    <t>Binnen de mantel van de cv-ketel: Actuator, driewegklep, cartridge</t>
  </si>
  <si>
    <t>147.36</t>
  </si>
  <si>
    <t>W2548345</t>
  </si>
  <si>
    <t>De monteur heeft een lekkage aan de installatie (&gt; 2m van de ketel) verholpen. Volgens Regel 2 vallen dergelijke werkzaamheden buiten het contract, dus moet dit gefactureerd worden aan de klant.</t>
  </si>
  <si>
    <t>Regel 2 - Lekkage aan de installatie (&gt; 2m van ketel)</t>
  </si>
  <si>
    <t>W2548296</t>
  </si>
  <si>
    <t>De monteur heeft een defecte radiatorkraan in de woonkamer vervangen. Radiatorkranen vallen altijd binnen het contract, ongeacht de locatie (&gt; 2 meter van de ketel).</t>
  </si>
  <si>
    <t>Radiatorkranen en appendages</t>
  </si>
  <si>
    <t>W2548293</t>
  </si>
  <si>
    <t>De monteur heeft een defecte ventilator in de cv-ketel vervangen. Volgens de contractvoorwaarden vallen onderdelen die deel uitmaken van de cv-ketel zelf binnen het contract, ongeacht de locatie. Daarom valt deze werkbon binnen het contract.</t>
  </si>
  <si>
    <t>Binnen de mantel van de cv-ketel: Ventilator</t>
  </si>
  <si>
    <t>W2548272</t>
  </si>
  <si>
    <t>De monteur heeft een storing aan het gesloten toestel (cv-ketel) verholpen, wat binnen het contract valt. De storingscode 003 - GEEN CV en WW duidt op een probleem met de cv-ketel zelf, wat binnen de mantel van de ketel valt volgens het contract.</t>
  </si>
  <si>
    <t>Binnen de mantel van de cv-ketel: GEEN CV en WW</t>
  </si>
  <si>
    <t>W2548268</t>
  </si>
  <si>
    <t>De monteur heeft een lekkage onder de cv-ketel verholpen, wat binnen het contract valt volgens regel 3 (BINNEN DE MANTEL). De storingscode 006.1 'Lekkage ONDER de ketel' geeft aan dat de lekkage zich binnen 2 meter van de ketel bevond, dus binnen de mantel. Daarom vallen deze werkzaamheden binnen het contract.</t>
  </si>
  <si>
    <t>Rhiant (Alles binnen &lt; 2 m van de ketel binnen contract)</t>
  </si>
  <si>
    <t>2026-02-14T13:24:53.442239</t>
  </si>
  <si>
    <t>W2547909</t>
  </si>
  <si>
    <t>De monteur heeft de installatie bijgevuld en ontlucht, wat volgens het contract binnen de dekking valt. De storingscode 005.1 'Installatie bijvullen' duidt ook op werkzaamheden binnen de ketelmantel, die volgens de contractvoorwaarden worden vergoed.</t>
  </si>
  <si>
    <t>W2547890</t>
  </si>
  <si>
    <t>De monteur heeft het expansievat vervangen, wat een onderdeel is van de cv-ketel zelf. Volgens de contractvoorwaarden vallen werkzaamheden aan onderdelen binnen de mantel van de cv-ketel binnen het contract, dus deze werkbon valt binnen het contract.</t>
  </si>
  <si>
    <t>Binnen de mantel van de cv-ketel: expansievat</t>
  </si>
  <si>
    <t>W2547870</t>
  </si>
  <si>
    <t>De monteur heeft een lekkage aan de installatie (buiten de ketel) verholpen. Volgens regel 2 vallen dergelijke lekken aan de installatie buiten het contract, dus deze werkzaamheden moeten worden gefactureerd aan de klant.</t>
  </si>
  <si>
    <t>Storingscode 006.2 - Lekkage aan de installatie</t>
  </si>
  <si>
    <t>W2547729</t>
  </si>
  <si>
    <t>De monteur heeft de installatie gevuld en ontlucht, wat volgens regel 1 altijd binnen het contract valt. De storingscode 002 'Geen WW' duidt op een probleem met de warmwatervoorziening, wat binnen de ketel valt. De oorzaakcode 'ALG - Algemene werkzaamheden' bevestigt dat het om reguliere werkzaamheden binnen de ketel gaat.</t>
  </si>
  <si>
    <t>Binnen de mantel van de cv-ketel, Installatie gevuld en ontlucht</t>
  </si>
  <si>
    <t>W2547634</t>
  </si>
  <si>
    <t>De monteur heeft onderhoud uitgevoerd aan de cv-ketel en de zonneboiler gecontroleerd. Aangezien de werkzaamheden binnen de mantel van de cv-ketel plaatsvinden, vallen deze onder het contract volgens regel 3.</t>
  </si>
  <si>
    <t>Binnen de mantel van de cv-ketel, onderhoud cv-ketel</t>
  </si>
  <si>
    <t>W2547480</t>
  </si>
  <si>
    <t>De werkbon valt binnen het contract, omdat de monteur een storing aan de cv-ketel heeft verholpen. Volgens de contractvoorwaarden zijn storingen aan de cv-ketel, inclusief onderdelen binnen de mantel, binnen het contract. De storingscode 003 - 'GEEN CV en WW' duidt op een probleem met de cv-ketel, wat binnen het contract valt.</t>
  </si>
  <si>
    <t>Binnen contract - Storingen aan cv-ketel</t>
  </si>
  <si>
    <t>W2547479</t>
  </si>
  <si>
    <t>De werkbon valt binnen het contract, omdat de monteur een storing aan de cv-installatie heeft verholpen. Volgens de contractvoorwaarden vallen storingen aan de cv-installatie binnen het contract, ongeacht de locatie van de storing (binnen of buiten de ketelkast).</t>
  </si>
  <si>
    <t>Binnen contract - Storingen aan cv-installatie</t>
  </si>
  <si>
    <t>W2547475</t>
  </si>
  <si>
    <t>De monteur heeft een defecte radiatorkraan in de hal vervangen. Radiatorkranen vallen altijd binnen het contract, ongeacht de locatie (&lt; 2m of &gt; 2m van de ketel). Daarom valt deze werkbon binnen het contract.</t>
  </si>
  <si>
    <t>Radiatorkranen en appendages zijn binnen contract</t>
  </si>
  <si>
    <t>W2547463</t>
  </si>
  <si>
    <t>De werkbon valt buiten het contract, omdat de oorzaakcode 900 'Probleem door derde' is. Dit betekent dat het probleem is veroorzaakt door een derde partij, en niet door de cv-installatie zelf. Volgens regel 0 vallen werkzaamheden met oorzaakcode 900 altijd buiten het contract, ongeacht andere regels.</t>
  </si>
  <si>
    <t>W2547442</t>
  </si>
  <si>
    <t>De monteur heeft een storing aan de Viessmann Vitodens 100 WB1C cv-ketel verholpen. Aangezien dit een onderdeel is dat deel uitmaakt van de cv-ketel zelf, valt dit binnen het contract volgens de contractvoorwaarden.</t>
  </si>
  <si>
    <t>Binnen de mantel van de cv-ketel: Onderdelen die deel uitmaken van de cv-ketel zelf</t>
  </si>
  <si>
    <t>2026-02-14T13:26:53.913776</t>
  </si>
  <si>
    <t>W2547436</t>
  </si>
  <si>
    <t>De werkbon valt buiten het contract, omdat de oorzaakcode 900 'Probleem door derde' is. Dit geldt altijd, ongeacht de storingscode. De monteur heeft een lekkage onder de ketel (storingscode 006.1) verholpen, maar omdat de oorzaak bij een derde partij lag, is dit niet binnen het contract.</t>
  </si>
  <si>
    <t>Regel 0 - Oorzaakcode 900 'Probleem door derde'</t>
  </si>
  <si>
    <t>W2547289</t>
  </si>
  <si>
    <t>De oorzaakcode 900 - Probleem door derde geeft aan dat het probleem is veroorzaakt door een derde partij. Volgens regel 0 vallen dergelijke werkzaamheden ALTIJD buiten het contract, ongeacht andere regels. Daarom is deze werkbon als NEE geclassificeerd.</t>
  </si>
  <si>
    <t>W2547281</t>
  </si>
  <si>
    <t>De monteur heeft een lekkage onder de cv-ketel verholpen, waarbij hij onderdelen van de ketel zelf heeft vervangen (3-wegklep, actuator, binnenwerk). Dit valt binnen het contract volgens de regels 'Ketelonderdelen' en 'Storingscode 006.1 Lekkage ONDER de ketel'.</t>
  </si>
  <si>
    <t>Binnen de mantel van de cv-ketel</t>
  </si>
  <si>
    <t>W2547270</t>
  </si>
  <si>
    <t>De monteur heeft een defecte radiatorkraan/knop vervangen. Radiatorkranen vallen altijd binnen het contract, ongeacht de locatie (&lt; 2m of &gt; 2m van de ketel). Daarom classificeer ik deze werkbon als 'JA', binnen contract.</t>
  </si>
  <si>
    <t>W2547240</t>
  </si>
  <si>
    <t>De werkzaamheden vallen binnen het contract, omdat de monteur een onderdeel van de cv-ketel (expansievat) heeft vervangen. Volgens regel 1 zijn ketelonderdelen zoals het expansievat altijd binnen contract, ongeacht de locatie.</t>
  </si>
  <si>
    <t>W2547120</t>
  </si>
  <si>
    <t>De monteur heeft een defecte radiatorkraan in de woonkamer en slaapkamer gerepareerd. Radiatorkranen vallen volgens het contract altijd binnen het contract, ongeacht de locatie (&lt; 2m of &gt; 2m van de ketel). Daarom vallen deze werkzaamheden binnen het contract.</t>
  </si>
  <si>
    <t>W2547085</t>
  </si>
  <si>
    <t>De monteur heeft een lekkage onder de cv-ketel verholpen, wat volgens regel 1 binnen het contract valt. De storingscode 006.1 geeft aan dat de lekkage zich onder de ketel bevond, dus binnen de 2 meter van de ketel. Daarom valt dit binnen het contract.</t>
  </si>
  <si>
    <t>Binnen de mantel van de cv-ketel: Lekkage onder de ketel (storingscode 006.1)</t>
  </si>
  <si>
    <t>117.15</t>
  </si>
  <si>
    <t>W2547114</t>
  </si>
  <si>
    <t>De werkbon valt binnen het contract, omdat de monteur een defecte radiatorkraan heeft gerepareerd. Radiatorkranen vallen altijd binnen het contract, ongeacht de locatie (&lt; 2m of &gt; 2m van de ketel).</t>
  </si>
  <si>
    <t>W2547118</t>
  </si>
  <si>
    <t>De monteur heeft een lekkage onder de ketel (storingscode 006.1) verholpen, maar de oorzaak was een probleem door een derde partij (oorzaakcode 900). Volgens regel 0 vallen werkzaamheden met oorzaakcode 900 altijd buiten het contract, ongeacht de andere details.</t>
  </si>
  <si>
    <t>W2547140</t>
  </si>
  <si>
    <t>De monteur heeft een lekkage onder de cv-ketel verholpen, wat binnen het contract valt volgens regel 1 (Storingscode 006.1 'Lekkage ONDER de ketel'). De werkzaamheden betreffen onderdelen die deel uitmaken van de cv-ketel zelf, dus binnen de mantel (&lt; 2 meter).</t>
  </si>
  <si>
    <t>2026-02-14T13:29:33.100499</t>
  </si>
  <si>
    <t>W2546622</t>
  </si>
  <si>
    <t>De werkzaamheden betreffen een storing aan de CV en warmwatervoorziening, wat volgens regel 0 altijd buiten contract valt. De monteur heeft meerdere keren geprobeerd de storing te verhelpen, maar dit is niet gelukt. Daarom is dit geheel buiten contract en moet dit gefactureerd worden aan de klant.</t>
  </si>
  <si>
    <t>Geen CV en WW is buiten contract</t>
  </si>
  <si>
    <t>W2546524</t>
  </si>
  <si>
    <t>De monteur heeft een storing aan de cv-ketel verholpen door onderdelen te vervangen. Dit valt binnen het contract, omdat de werkzaamheden zich binnen de mantel van de cv-ketel bevinden en het gaat om vervanging van ketelonderdelen (storingscode 003 - GEEN CV en WW, oorzaakcode 200 - Installatie probleem).</t>
  </si>
  <si>
    <t>Binnen de mantel van de cv-ketel, Ketelonderdelen</t>
  </si>
  <si>
    <t>W2546520</t>
  </si>
  <si>
    <t>De monteur heeft een lekkage onder de cv-ketel verholpen, wat volgens regel 3 binnen het contract valt. De storingscode 006.1 'Lekkage onder de ketel' geeft aan dat de lekkage zich binnen de mantel van de ketel bevond, dus binnen 2 meter van de ketel. Daarom valt deze werkzaamheid binnen het contract.</t>
  </si>
  <si>
    <t>W2546472</t>
  </si>
  <si>
    <t>De werkzaamheden vallen binnen het contract, omdat de monteur de kamerthermostaat heeft vervangen. Radiatorkranen en kamerthermostaten zijn expliciet genoemd als onderdelen die binnen het contract vallen, ongeacht de locatie. Daarnaast is er ook sprake van het vullen en ontluchten van de installatie, wat ook altijd binnen contract is.</t>
  </si>
  <si>
    <t>Radiatorkranen, Kamerthermostaat, Installatie gevuld en ontlucht</t>
  </si>
  <si>
    <t>W2546419</t>
  </si>
  <si>
    <t>De monteur heeft storingen aan de cv-ketel verholpen, waarbij hij onderdelen zoals een cartridge en hallsensor heeft vervangen. Dit valt binnen het contract, aangezien het gaat om onderdelen die deel uitmaken van de cv-ketel zelf (binnen de mantel).</t>
  </si>
  <si>
    <t>W2546415</t>
  </si>
  <si>
    <t>De monteur heeft een onderdeel van de cv-ketel (ontstekingstrafo) vervangen. Dit valt binnen het contract volgens de regels 'Ketelonderdelen' en 'Binnen de mantel (&lt; 2m van cv-ketel)'.</t>
  </si>
  <si>
    <t>Binnen de mantel van de cv-ketel: onderdelen van de cv-ketel zelf</t>
  </si>
  <si>
    <t>W2546414</t>
  </si>
  <si>
    <t>De monteur heeft een defecte radiatorkraan in de woonkamer vervangen. Radiatorkranen vallen altijd binnen het contract, ongeacht de locatie (&lt; 2m of &gt; 2m van de ketel).</t>
  </si>
  <si>
    <t>W2546402</t>
  </si>
  <si>
    <t>W2546391</t>
  </si>
  <si>
    <t>De werkbon valt binnen het contract, omdat de monteur een lekkage onder de ketel heeft verholpen. Storingscode 006.1 'Lekkage onder de ketel' valt volgens de contractvoorwaarden binnen het contract, omdat dit binnen de mantel (&lt; 2 meter) van de cv-ketel plaatsvindt.</t>
  </si>
  <si>
    <t>W2546388</t>
  </si>
  <si>
    <t>De monteur heeft een storing aan de cv-ketel verholpen door een defecte ventilator te vervangen. Vervanging van onderdelen die deel uitmaken van de cv-ketel zelf vallen binnen het contract, ook als deze onderdelen duur zijn.</t>
  </si>
  <si>
    <t>opm.</t>
  </si>
  <si>
    <t>WVC</t>
  </si>
  <si>
    <t>TK</t>
  </si>
  <si>
    <t>opmerking:</t>
  </si>
  <si>
    <t>bevinding</t>
  </si>
  <si>
    <t>2026-02-10T16:01:09.004390</t>
  </si>
  <si>
    <t>W2548579</t>
  </si>
  <si>
    <t>De monteur heeft een defecte radiatorkraan/knop in de woonkamer/keuken vervangen. Dit valt binnen het contractbereik, aangezien radiatorkranen en appendages binnen 2 meter van de CV-ketel worden beschouwd als onderdelen binnen de mantel.</t>
  </si>
  <si>
    <t>Rhiant (Alles binnen &lt; 2 m van de ketel binnen contract) - Radiatorkranen en appendages</t>
  </si>
  <si>
    <t>valt niet binnen individueel contract</t>
  </si>
  <si>
    <t>nvt</t>
  </si>
  <si>
    <t>TWIJFEL</t>
  </si>
  <si>
    <t>70.0</t>
  </si>
  <si>
    <t>De monteur heeft een storing aan de CV-ketel verholpen, wat binnen het contract valt. De omschrijving vermeldt dat de CV en warmwater niet werkten en er regelmatig gereset moest worden. Dit duidt op een probleem binnen de ketelkast, waarvan de reparatie binnen het contract valt.</t>
  </si>
  <si>
    <t>Binnen contract - Storingen aan CV-ketel</t>
  </si>
  <si>
    <t>Oplossing: storing voor electrien , oorzaak: probleem derden factureren geen twijfel</t>
  </si>
  <si>
    <t>fout</t>
  </si>
  <si>
    <t>De monteur heeft onderdelen binnen de ketelkast vervangen, zoals het expansievat, ontluchter en veiligheidsventiel. Deze onderdelen vallen binnen het contract en worden daarom niet gefactureerd aan de klant.</t>
  </si>
  <si>
    <t>goed</t>
  </si>
  <si>
    <t>De monteur heeft de cv-installatie bijgevuld, wat binnen het onderhoudscontract valt aangezien dit een ketelonderdeel is binnen de 2 meter van de cv-ketel.</t>
  </si>
  <si>
    <t>Artikel 'bijvullen en ontluchten' binnen de 'mantel van de cv-ketel'</t>
  </si>
  <si>
    <t>De monteur heeft storingen aan de cv-ketel verholpen, wat binnen het contract valt. Hij heeft geen werkzaamheden buiten de ketelkast uitgevoerd.</t>
  </si>
  <si>
    <t>Binnen de mantel van de cv-ketel, binnen contract</t>
  </si>
  <si>
    <t>De monteur heeft een storing aan de CV-ketel verholpen door een actuator, driewegklep en cartridge te vervangen. Deze onderdelen maken deel uit van de CV-ketel zelf en vallen daarom binnen het servicecontract.</t>
  </si>
  <si>
    <t>Binnen contract: Onderdelen van de CV-ketel zelf (ventilator, gasklep, expansievat, etc.)</t>
  </si>
  <si>
    <t>De monteur heeft een 'Lekkage onder de ketel' verholpen, wat volgens het contract buiten de mantel van de cv-ketel valt en dus niet binnen het contract is gedekt. De werkzaamheden bestonden uit het vervangen van PVC-onderdelen zoals buizen, sifon en bochten om de lekkage op te lossen.</t>
  </si>
  <si>
    <t>Contract Trivire Tablis rhiant - Lekkage onder de ketel is expliciet uitgesloten</t>
  </si>
  <si>
    <t>Twijfel ter beoordeling</t>
  </si>
  <si>
    <t>W2548204</t>
  </si>
  <si>
    <t>De monteur heeft de storing aan de kamerthermostaat verholpen, wat onder het contract valt. De werkzaamheden zijn uitgevoerd 'binnen de mantel' van de cv-ketel.</t>
  </si>
  <si>
    <t>Volgens het contractartikel 'Kamerthermostaat' valt het vervangen van de batterijen van de kamerthermostaat binnen het contract.</t>
  </si>
  <si>
    <t>W2548207</t>
  </si>
  <si>
    <t>De werkzaamheden hebben betrekking op de vloerverwarming, die volgens het contract buiten de ketelkast (&gt; 2m van de cv-ketel) vallen en daarmee niet onder het contract worden gedekt. De monteur heeft de storing aan de vloerverwarmingsinstallatie verholpen.</t>
  </si>
  <si>
    <t>Vloerverwarming regelingen etc.</t>
  </si>
  <si>
    <t>W2548208</t>
  </si>
  <si>
    <t>De monteur heeft een defecte/lekkende radiatorkraan vervangen. Radiatorkranen en appendages vallen normaal binnen het contract, maar omdat het gaat om een lekkage aan de radiatorkraan, valt dit specifieke geval buiten het contract. Lekkages aan leidingen of radiatoren (buiten 2m van de ketel) worden als buiten contract beschouwd.</t>
  </si>
  <si>
    <t>Radiatorkranen en appendages zijn BINNEN contract (&lt; 2m), maar lekkage aan radiatorkraan is BUITEN contract</t>
  </si>
  <si>
    <t>2026-02-10T16:04:12.453033</t>
  </si>
  <si>
    <t>W2548193</t>
  </si>
  <si>
    <t>De werkzaamheden vallen binnen het contract omdat de monteur de volgende onderdelen binnen de ketelkast (&lt; 2m van de cv-ketel) heeft vervangen: 3-wegklep en circulatiepomp. Deze onderdelen maken deel uit van de cv-ketel zelf en zijn daarom gedekt door het servicecontract.</t>
  </si>
  <si>
    <t>Binnen de mantel van de cv-ketel: Ventilator, gasklep, expansievat, warmtewisselaar, ontstekingselektrode, pakking, printplaat, sensor, drukmeter, ontluchter, pomp van de ketel, waterdrukschakelaar</t>
  </si>
  <si>
    <t>W2548170</t>
  </si>
  <si>
    <t>80.0</t>
  </si>
  <si>
    <t>De monteur heeft een storing aan de CV-installatie verholpen. Omdat de beschrijving geen specifieke locatie vermeldt, ga ik er vanuit dat de werkzaamheden binnen de ketelkast ('binnen de mantel') waren. Dergelijke storingen aan de CV-ketel zelf vallen binnen het contract volgens de contractvoorwaarden.</t>
  </si>
  <si>
    <t>Oplossing: installatie gevuld en ontlucht binnen contract</t>
  </si>
  <si>
    <t>W2548162</t>
  </si>
  <si>
    <t>De werkbon beschrijft dat er een lekkage was aan de installatie. De monteur heeft onderdelen zoals bochten, koppelingen en buizen vervangen. Dit gebeurde 'binnen de mantel' van de cv-ketel, dus binnen het contract volgens de contractvoorwaarden.</t>
  </si>
  <si>
    <t>W2548129</t>
  </si>
  <si>
    <t>De monteur heeft de storing aan de cv-ketel verholpen, waaruit blijkt dat de werkzaamheden binnen de ketelkast (&lt; 2 meter van de cv-ketel) hebben plaatsgevonden. Aangezien dit onderdelen zijn die binnen het contract vallen, classificeer ik deze werkbon als 'JA' - binnen het contract.</t>
  </si>
  <si>
    <t>Onderdelen binnen de ketelkast vallen onder het contract</t>
  </si>
  <si>
    <t>oplossing:vloerverwarming stond uit</t>
  </si>
  <si>
    <t>W2548123</t>
  </si>
  <si>
    <t>De monteur heeft onderdelen binnen de cv-ketel vervangen, zoals de ontstekingstrafo en ontluchter. Dit valt binnen het servicecontract volgens de contractvoorwaarden.</t>
  </si>
  <si>
    <t>Binnen contract: 'binnen de mantel van de cv-ketel'</t>
  </si>
  <si>
    <t>W2548092</t>
  </si>
  <si>
    <t>Uit de werkbonomschrijving blijkt dat de monteur is opgeroepen voor een storing aan de CV-installatie. Dit valt binnen het contract, aangezien het gaat om een storing aan de CV-ketel zelf (storingscode 003 - GEEN CV).</t>
  </si>
  <si>
    <t>BINNEN CONTRACT: Storing aan de CV-installatie</t>
  </si>
  <si>
    <t>W2548061</t>
  </si>
  <si>
    <t>De monteur heeft lekkage aan de installatie/leiding binnen de ketelkast (binnen 2 meter van de cv-ketel) verholpen door verschillende cv-onderdelen te vervangen. Dit valt binnen het servicecontract.</t>
  </si>
  <si>
    <t>Rhiant (Alles binnen &lt; 2 m van de ketel binnen contract), Lekkage aan de ketel</t>
  </si>
  <si>
    <t>Lekkage leiding keuken (KK) niet binnen contract</t>
  </si>
  <si>
    <t>De monteur heeft onderhoud uitgevoerd aan de cv-ketel en de zonneboiler gecontroleerd. Zonneboiler gerelateerde werkzaamheden vallen binnen het contract volgens de contractvoorwaarden.</t>
  </si>
  <si>
    <t>Onderhoud cv ketel en controle zonneboiler valt binnen contract, zie artikel 'storingen WTW-units'</t>
  </si>
  <si>
    <t>De monteur heeft een defecte radiatorkraan vervangen. Radiatoren en leidingen die verder dan 2 meter van de cv-ketel zitten, vallen volgens het contract buiten de mantel en zijn daarom niet gedekt.</t>
  </si>
  <si>
    <t>Radiatorkraan/knop vervangen, niet binnen 2m van de ketel</t>
  </si>
  <si>
    <t>Radiatorkranen vallen binnen het contract ook al is dit &gt; 2 meter van de ketel</t>
  </si>
  <si>
    <t>De monteur heeft een storing aan de cv-ketel verholpen, wat valt onder het servicecontract. De werkzaamheden vonden plaats 'binnen de mantel' van de cv-ketel.</t>
  </si>
  <si>
    <t>Binnen contract, zie 'GEEN CV en WW' en 'CV storingen verhelpen' - dit duidt op een storing aan de ketel zelf</t>
  </si>
  <si>
    <t>2026-02-10T16:06:10.203514</t>
  </si>
  <si>
    <t>W2547450</t>
  </si>
  <si>
    <t>De monteur heeft onderdelen binnen de ketelkast vervangen, namelijk het expansievat, ontluchter en automatische ontluchter. Deze onderdelen vallen volgens het contract binnen de mantel van de cv-ketel en daarmee binnen het servicecontract.</t>
  </si>
  <si>
    <t>W2547444</t>
  </si>
  <si>
    <t>De monteur heeft een onderdeel binnen de cv-ketel (ontluchter) vervangen en een storing in de cv-ketel verholpen. Dit valt binnen het contract, aangezien de werkzaamheden 'binnen de mantel' van de ketel plaatsvonden.</t>
  </si>
  <si>
    <t>De monteur heeft een storing aan de Viessmann Vitodens 100 WB1C cv-ketel verholpen. Storingen binnen de ketelkast (mantel) vallen binnen het servicecontract.</t>
  </si>
  <si>
    <t>W2547441</t>
  </si>
  <si>
    <t>De monteur heeft een defect expansievat in de cv-ketel vervangen, wat een onderdeel is dat binnen de mantel van de ketel valt en daarmee binnen het contract.</t>
  </si>
  <si>
    <t>W2547440</t>
  </si>
  <si>
    <t>De monteur heeft een onderdeel binnen de ketelkast (ontstekingstrafo) vervangen, wat valt onder het servicecontract. De werkzaamheden hebben plaatsgevonden 'binnen de mantel' van de cv-ketel.</t>
  </si>
  <si>
    <t>De monteur heeft een 'lekkage onder de ketel' verholpen, wat betekent dat de lekkage zich buiten de ketelkast bevindt. Dit valt daarom buiten het contract, omdat het niet binnen 2 meter van de ketel is.</t>
  </si>
  <si>
    <t>W2547427</t>
  </si>
  <si>
    <t>De monteur heeft een lekkage aan de installatie verholpen, wat binnen de ketelkast (mantel) van de cv-ketel valt. Dit is een storingsreparatie van een ketelonderdeel en valt daarom binnen het contract.</t>
  </si>
  <si>
    <t>W2547409</t>
  </si>
  <si>
    <t>De werkzaamheden hebben betrekking op het verhelpen van een storing aan de warmtepomp, wat binnen het servicecontract valt. De monteur heeft de storing opgelost en de installatie weer in werking gesteld.</t>
  </si>
  <si>
    <t>Contract Trivire Tablis rhiant, Storingen aan: warmtepompen</t>
  </si>
  <si>
    <t>garantie dit moet gefactureerd worden aan WVI</t>
  </si>
  <si>
    <t>W2547401</t>
  </si>
  <si>
    <t>De monteur heeft gewerkt aan een probleem met de CV-installatie op de hele bovenverdieping, waarbij alle radiatoren koud bleven. Dit valt buiten het contract, omdat de werkzaamheden niet binnen 2 meter van de cv-ketel waren.</t>
  </si>
  <si>
    <t>Het contract geeft aan dat werkzaamheden aan de hele CV-installatie (behalve de ketel zelf) buiten het contract vallen.</t>
  </si>
  <si>
    <t>W2547364</t>
  </si>
  <si>
    <t>De monteur heeft een radiatorkraan/knop in de woonkamer gerepareerd. Dit is een onderdeel dat buiten de ketelkast valt en dus niet binnen het contract wordt vergoed volgens de contractvoorwaarden.</t>
  </si>
  <si>
    <t>De werkzaamheden vallen onder 'Radiatorkranen en appendages' die volgens het contract buiten het contract vallen (&gt; 2m van de ketel)</t>
  </si>
  <si>
    <t>32.76</t>
  </si>
  <si>
    <t>ter beoordeling</t>
  </si>
  <si>
    <t>2026-02-10T16:09:05.988553</t>
  </si>
  <si>
    <t>W2547196</t>
  </si>
  <si>
    <t>De werkbon heeft betrekking op een lekkage aan een radiator, waarbij onderdelen binnen de ketelkast (&lt; 2 meter van de cv-ketel) zijn vervangen, zoals een expansievat. Dit valt binnen het servicecontract volgens de contractvoorwaarden.</t>
  </si>
  <si>
    <t>Binnen contract: 'binnen de mantel van de cv-ketel', 'radiatorkranen en appendages'</t>
  </si>
  <si>
    <t>De monteur heeft een lekkage onder de cv-ketel opgelost. Aangezien dit buiten de ketelkast valt, vallen de werkzaamheden buiten het contract.</t>
  </si>
  <si>
    <t>Contractvoorwaarden: Lekkage ONDER de ketel is buiten de ketelkast, dus buiten contract.</t>
  </si>
  <si>
    <t>RGA is twijfel ter beoordeling</t>
  </si>
  <si>
    <t>W2547131</t>
  </si>
  <si>
    <t>De monteur heeft een defecte thermostaatkop vervangen op een radiatorkraan, welke zich binnen 2 meter van de cv-ketel bevindt. Dit valt binnen het contract.</t>
  </si>
  <si>
    <t>Rhiant (Alles binnen &lt; 2 m van de ketel binnen contract): radiatorkranen en appendages</t>
  </si>
  <si>
    <t>De werkbon beschrijft een defecte radiatorkraan in de woonkamer en slaapkamer. Volgens het contract zijn radiatorkranen binnen contract, maar de reparatie vindt plaats buiten de &lt; 2m zone van de cv-ketel. Daarom valt deze werkbon buiten het contract.</t>
  </si>
  <si>
    <t>Radiatorkranen en appendages zijn binnen contract, maar reparatie vindt plaats buiten de &lt; 2m zone van de ketel</t>
  </si>
  <si>
    <t>De werkbon vermeldt een 'radiatorkraan/knop defect' in de woonkamer. Dit wijst erop dat er reparatie nodig was aan de radiatorkraan, wat in principe buiten het contract valt. Tenzij de radiatorkraan zich binnen 2 meter van de cv-ketel bevindt, wat echter niet duidelijk is uit de informatie. Daarom classificeer ik dit als 'NEE', met een hoge confidence van 0.9.</t>
  </si>
  <si>
    <t>Radiatorkranen en appendages zijn binnen contract, maar de oplossing vermeld een 'defect' wat erop wijst dat er reparatie nodig was.</t>
  </si>
  <si>
    <t>W2547108</t>
  </si>
  <si>
    <t>De monteur heeft gewerkt aan de radiatorkraan, die buiten de 2 meter zone van de cv-ketel valt. Dit valt daarom buiten het contract.</t>
  </si>
  <si>
    <t>Artikel - 'Radiatorkranen en appendages' zijn binnen het contract tot 2m van de ketel. Radiatoren en leidingen zijn buiten het contract, tenzij binnen 2m van de ketel.</t>
  </si>
  <si>
    <t>W2547010</t>
  </si>
  <si>
    <t>De monteur heeft diverse onderdelen binnen de ketelkast (hydroblok, driewegklep, manometer, automatisch vulsysteem) vervangen. Deze onderdelen vallen binnen het servicecontract, omdat ze zich binnen de ketelkast (&lt; 2 meter van de cv-ketel) bevinden.</t>
  </si>
  <si>
    <t>Binnen contract - Onderdelen binnen de ketelkast (&lt; 2 meter van cv-ketel)</t>
  </si>
  <si>
    <t>W2546954</t>
  </si>
  <si>
    <t>De werkbon beschrijft het vervangen van een onderdeel (ontstekingstrafo) van de cv-ketel, wat een 'onderdeel binnen de ketelkast' is. Volgens het contract vallen dergelijke onderdelen binnen de dekking van het servicecontract.</t>
  </si>
  <si>
    <t>Onderdelen 'binnen de mantel' van de cv-ketel vallen binnen het contract</t>
  </si>
  <si>
    <t>61.46</t>
  </si>
  <si>
    <t>W2546990</t>
  </si>
  <si>
    <t>De monteur heeft een storing aan een tapwater boiler van Trivire verholpen. Aangezien dit een algemeen toestel van Trivire betreft en geen specifiek apparaat, valt deze werkzaamheid binnen het contract volgens de voorwaarden.</t>
  </si>
  <si>
    <t>Tapwaterboiler altijd Regie staat ook in de paragraaf van syntess</t>
  </si>
  <si>
    <t>W2547016</t>
  </si>
  <si>
    <t>De monteur heeft een defecte radiatorkraan vervangen. Radiatorkranen vallen buiten het contract, tenzij deze zich binnen 2 meter van de ketel bevinden. Uit de beschrijving blijkt niet dat de radiatorkraan binnen 2 meter van de ketel was geplaatst, dus deze werkzaamheden vallen buiten het contract.</t>
  </si>
  <si>
    <t>Radiatorkraan/knop vervangen valt buiten contract, zie tabel</t>
  </si>
  <si>
    <t>verstopping</t>
  </si>
  <si>
    <t>oplossing installatie gevuld en ontlucht binnen contract</t>
  </si>
  <si>
    <t>Rijlabels</t>
  </si>
  <si>
    <t>(leeg)</t>
  </si>
  <si>
    <t>Eindtotaal</t>
  </si>
  <si>
    <t>Aantal van classificatie</t>
  </si>
  <si>
    <t>(Meerdere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</si>
</sst>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3" fontId="0" fillId="0" borderId="0" xfId="0" applyNumberFormat="1"/>
    <xf numFmtId="0" fontId="0" fillId="33" borderId="0" xfId="0" applyFill="1"/>
    <xf numFmtId="0" fontId="0" fillId="34" borderId="0" xfId="0" applyFill="1"/>
    <xf numFmtId="14" fontId="0" fillId="34" borderId="0" xfId="0" applyNumberFormat="1" applyFill="1"/>
    <xf numFmtId="3" fontId="0" fillId="34"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Procent" xfId="42" builtinId="5"/>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rit Smits" refreshedDate="46067.620331828701" createdVersion="8" refreshedVersion="8" minRefreshableVersion="3" recordCount="41" xr:uid="{BDEE7598-F5A3-4128-8416-E17CADEEFB5B}">
  <cacheSource type="worksheet">
    <worksheetSource ref="A1:N1048576" sheet="classificatie_geschiedenis_V3"/>
  </cacheSource>
  <cacheFields count="15">
    <cacheField name="timestamp" numFmtId="0">
      <sharedItems containsBlank="1"/>
    </cacheField>
    <cacheField name="werkbon_key" numFmtId="0">
      <sharedItems containsString="0" containsBlank="1" containsNumber="1" containsInteger="1" minValue="2997349" maxValue="3010988"/>
    </cacheField>
    <cacheField name="werkbon_code" numFmtId="0">
      <sharedItems containsBlank="1"/>
    </cacheField>
    <cacheField name="debiteur" numFmtId="0">
      <sharedItems containsBlank="1"/>
    </cacheField>
    <cacheField name="datum" numFmtId="0">
      <sharedItems containsNonDate="0" containsDate="1" containsString="0" containsBlank="1" minDate="2025-12-06T00:00:00" maxDate="2025-12-20T00:00:00"/>
    </cacheField>
    <cacheField name="contract_filename" numFmtId="0">
      <sharedItems containsBlank="1"/>
    </cacheField>
    <cacheField name="classificatie" numFmtId="0">
      <sharedItems containsBlank="1" count="3">
        <s v="NEE"/>
        <s v="JA"/>
        <m/>
      </sharedItems>
    </cacheField>
    <cacheField name="basis_classificatie" numFmtId="0">
      <sharedItems containsBlank="1"/>
    </cacheField>
    <cacheField name="confidence" numFmtId="0">
      <sharedItems containsBlank="1"/>
    </cacheField>
    <cacheField name="toelichting" numFmtId="0">
      <sharedItems containsBlank="1" longText="1"/>
    </cacheField>
    <cacheField name="contract_referentie" numFmtId="0">
      <sharedItems containsBlank="1"/>
    </cacheField>
    <cacheField name="totaal_kosten" numFmtId="0">
      <sharedItems containsBlank="1" containsMixedTypes="1" containsNumber="1" containsInteger="1" minValue="21485" maxValue="5.137E+16"/>
    </cacheField>
    <cacheField name="opm." numFmtId="0">
      <sharedItems containsBlank="1" containsMixedTypes="1" containsNumber="1" containsInteger="1" minValue="0" maxValue="0" count="10">
        <s v="Oplossing: storing voor electrien , oorzaak: probleem derden factureren geen twijfel"/>
        <n v="0"/>
        <s v="Twijfel ter beoordeling"/>
        <m/>
        <s v="valt niet binnen individueel contract"/>
        <s v="Oplossing: installatie gevuld en ontlucht binnen contract"/>
        <s v="Radiatorkranen vallen binnen het contract ook al is dit &gt; 2 meter van de ketel"/>
        <s v="RGA is twijfel ter beoordeling"/>
        <s v="oplossing installatie gevuld en ontlucht binnen contract"/>
        <s v="verstopping"/>
      </sharedItems>
    </cacheField>
    <cacheField name="WVC" numFmtId="0">
      <sharedItems containsBlank="1" count="4">
        <s v="goed"/>
        <s v="nvt"/>
        <s v="fout"/>
        <m/>
      </sharedItems>
    </cacheField>
    <cacheField name="classificatie V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2026-02-14T13:22:28.090046"/>
    <n v="3010988"/>
    <s v="W2548509"/>
    <s v="005102 - Trivire"/>
    <d v="2025-12-19T00:00:00"/>
    <s v="Trivire_Tablis_rhiant.txt"/>
    <x v="0"/>
    <s v="NEE"/>
    <s v="100.0"/>
    <s v="De werkbon valt buiten het contract, omdat de oorzaakcode 900 'Probleem door derde' is. Dit betekent dat de storing is veroorzaakt door een derde partij, en niet door een defect aan de cv-ketel of installatie. Volgens regel 0 vallen werkzaamheden met oorzaakcode 900 altijd buiten het contract, ongeacht andere regels."/>
    <s v="Oorzaakcode 900 - Probleem door derde"/>
    <n v="729815"/>
    <x v="0"/>
    <x v="0"/>
    <s v="TWIJFEL"/>
  </r>
  <r>
    <s v="2026-02-14T13:22:28.090046"/>
    <n v="3010931"/>
    <s v="W2548498"/>
    <s v="005102 - Trivire"/>
    <d v="2025-12-18T00:00:00"/>
    <s v="Trivire_Tablis_rhiant.txt"/>
    <x v="1"/>
    <s v="JA"/>
    <s v="90.0"/>
    <s v="De monteur heeft een storing aan de cv-ketel verholpen door het vervangen van het expansievat, de automatische ontluchter en het veiligheidsventiel. Deze onderdelen maken deel uit van de cv-ketel zelf en vallen daarom binnen het contract volgens de contractvoorwaarden."/>
    <s v="Binnen de mantel van de cv-ketel, onderdelen van de cv-ketel"/>
    <n v="8947749999999990"/>
    <x v="1"/>
    <x v="0"/>
    <s v="JA"/>
  </r>
  <r>
    <s v="2026-02-14T13:22:28.090046"/>
    <n v="3010648"/>
    <s v="W2548457"/>
    <s v="005102 - Trivire"/>
    <d v="2025-12-18T00:00:00"/>
    <s v="Trivire_Tablis_rhiant.txt"/>
    <x v="1"/>
    <s v="JA"/>
    <s v="100.0"/>
    <s v="De monteur heeft de installatie bijgevuld, wat volgens het contract altijd binnen het contract valt. De storingscode 005.1 'Installatie bijvullen' bevestigt dit."/>
    <s v="Binnen contract - Installatie vullen en ontluchten"/>
    <n v="1.15994499999999E+16"/>
    <x v="1"/>
    <x v="0"/>
    <s v="JA"/>
  </r>
  <r>
    <s v="2026-02-14T13:22:28.090046"/>
    <n v="3010631"/>
    <s v="W2548454"/>
    <s v="005102 - Trivire"/>
    <d v="2025-12-18T00:00:00"/>
    <s v="Trivire_Tablis_rhiant.txt"/>
    <x v="1"/>
    <s v="JA"/>
    <s v="90.0"/>
    <s v="De monteur heeft de cv-installatie gevuld en ontlucht, wat volgens het contract binnen de dekking valt. De storingscode 'GEEN CV en WW' en oorzaakcode 'Installatie probleem' wijzen erop dat er een probleem was met de cv-installatie zelf, wat binnen het contract wordt behandeld."/>
    <s v="Binnen de mantel van de cv-ketel: bijvullen en ontluchten"/>
    <n v="115716"/>
    <x v="1"/>
    <x v="0"/>
    <s v="JA"/>
  </r>
  <r>
    <s v="2026-02-14T13:22:28.090046"/>
    <n v="3010455"/>
    <s v="W2548428"/>
    <s v="005102 - Trivire"/>
    <d v="2025-12-18T00:00:00"/>
    <s v="Trivire_Tablis_rhiant.txt"/>
    <x v="1"/>
    <s v="JA"/>
    <s v="90.0"/>
    <s v="De monteur heeft onderdelen van de cv-ketel zelf vervangen, zoals de actuator, driewegklep en cartridge. Dit valt binnen het contract volgens de regels 'Ketelonderdelen' en 'Binnen de mantel (&lt; 2m van cv-ketel)'."/>
    <s v="Binnen de mantel van de cv-ketel: Actuator, driewegklep, cartridge"/>
    <s v="147.36"/>
    <x v="1"/>
    <x v="0"/>
    <s v="JA"/>
  </r>
  <r>
    <s v="2026-02-14T13:22:28.090046"/>
    <n v="3009733"/>
    <s v="W2548345"/>
    <s v="005102 - Trivire"/>
    <d v="2025-12-17T00:00:00"/>
    <s v="Trivire_Tablis_rhiant.txt"/>
    <x v="0"/>
    <s v="NEE"/>
    <s v="90.0"/>
    <s v="De monteur heeft een lekkage aan de installatie (&gt; 2m van de ketel) verholpen. Volgens Regel 2 vallen dergelijke werkzaamheden buiten het contract, dus moet dit gefactureerd worden aan de klant."/>
    <s v="Regel 2 - Lekkage aan de installatie (&gt; 2m van ketel)"/>
    <n v="205742"/>
    <x v="2"/>
    <x v="0"/>
    <e v="#N/A"/>
  </r>
  <r>
    <s v="2026-02-14T13:22:28.090046"/>
    <n v="3009393"/>
    <s v="W2548296"/>
    <s v="005102 - Trivire"/>
    <d v="2025-12-17T00:00:00"/>
    <s v="Trivire_Tablis_rhiant.txt"/>
    <x v="1"/>
    <s v="JA"/>
    <s v="100.0"/>
    <s v="De monteur heeft een defecte radiatorkraan in de woonkamer vervangen. Radiatorkranen vallen altijd binnen het contract, ongeacht de locatie (&gt; 2 meter van de ketel)."/>
    <s v="Radiatorkranen en appendages"/>
    <n v="1052495"/>
    <x v="3"/>
    <x v="0"/>
    <m/>
  </r>
  <r>
    <s v="2026-02-14T13:22:28.090046"/>
    <n v="3009366"/>
    <s v="W2548293"/>
    <s v="005102 - Trivire"/>
    <d v="2025-12-17T00:00:00"/>
    <s v="Trivire_Tablis_rhiant.txt"/>
    <x v="1"/>
    <s v="JA"/>
    <s v="90.0"/>
    <s v="De monteur heeft een defecte ventilator in de cv-ketel vervangen. Volgens de contractvoorwaarden vallen onderdelen die deel uitmaken van de cv-ketel zelf binnen het contract, ongeacht de locatie. Daarom valt deze werkbon binnen het contract."/>
    <s v="Binnen de mantel van de cv-ketel: Ventilator"/>
    <n v="2.355205E+16"/>
    <x v="3"/>
    <x v="0"/>
    <m/>
  </r>
  <r>
    <s v="2026-02-14T13:22:28.090046"/>
    <n v="3009173"/>
    <s v="W2548272"/>
    <s v="005102 - Trivire"/>
    <d v="2025-12-17T00:00:00"/>
    <s v="Trivire_Tablis_rhiant.txt"/>
    <x v="1"/>
    <s v="JA"/>
    <s v="90.0"/>
    <s v="De monteur heeft een storing aan het gesloten toestel (cv-ketel) verholpen, wat binnen het contract valt. De storingscode 003 - GEEN CV en WW duidt op een probleem met de cv-ketel zelf, wat binnen de mantel van de ketel valt volgens het contract."/>
    <s v="Binnen de mantel van de cv-ketel: GEEN CV en WW"/>
    <n v="21485"/>
    <x v="3"/>
    <x v="0"/>
    <m/>
  </r>
  <r>
    <s v="2026-02-14T13:22:28.090046"/>
    <n v="3009146"/>
    <s v="W2548268"/>
    <s v="005102 - Trivire"/>
    <d v="2025-12-17T00:00:00"/>
    <s v="Trivire_Tablis_rhiant.txt"/>
    <x v="1"/>
    <s v="JA"/>
    <s v="90.0"/>
    <s v="De monteur heeft een lekkage onder de cv-ketel verholpen, wat binnen het contract valt volgens regel 3 (BINNEN DE MANTEL). De storingscode 006.1 'Lekkage ONDER de ketel' geeft aan dat de lekkage zich binnen 2 meter van de ketel bevond, dus binnen de mantel. Daarom vallen deze werkzaamheden binnen het contract."/>
    <s v="Rhiant (Alles binnen &lt; 2 m van de ketel binnen contract)"/>
    <n v="99274"/>
    <x v="2"/>
    <x v="0"/>
    <s v="NEE"/>
  </r>
  <r>
    <s v="2026-02-14T13:24:53.442239"/>
    <n v="3004668"/>
    <s v="W2547909"/>
    <s v="005102 - Trivire"/>
    <d v="2025-12-15T00:00:00"/>
    <s v="Trivire_Tablis_rhiant.txt"/>
    <x v="1"/>
    <s v="JA"/>
    <s v="90.0"/>
    <s v="De monteur heeft de installatie bijgevuld en ontlucht, wat volgens het contract binnen de dekking valt. De storingscode 005.1 'Installatie bijvullen' duidt ook op werkzaamheden binnen de ketelmantel, die volgens de contractvoorwaarden worden vergoed."/>
    <s v="Binnen de mantel van de cv-ketel: bijvullen en ontluchten"/>
    <n v="71646"/>
    <x v="4"/>
    <x v="1"/>
    <m/>
  </r>
  <r>
    <s v="2026-02-14T13:24:53.442239"/>
    <n v="3004600"/>
    <s v="W2547890"/>
    <s v="005102 - Trivire"/>
    <d v="2025-12-15T00:00:00"/>
    <s v="Trivire_Tablis_rhiant.txt"/>
    <x v="1"/>
    <s v="JA"/>
    <s v="90.0"/>
    <s v="De monteur heeft het expansievat vervangen, wat een onderdeel is van de cv-ketel zelf. Volgens de contractvoorwaarden vallen werkzaamheden aan onderdelen binnen de mantel van de cv-ketel binnen het contract, dus deze werkbon valt binnen het contract."/>
    <s v="Binnen de mantel van de cv-ketel: expansievat"/>
    <n v="88707"/>
    <x v="3"/>
    <x v="0"/>
    <m/>
  </r>
  <r>
    <s v="2026-02-14T13:24:53.442239"/>
    <n v="3004558"/>
    <s v="W2547870"/>
    <s v="005102 - Trivire"/>
    <d v="2025-12-15T00:00:00"/>
    <s v="Trivire_Tablis_rhiant.txt"/>
    <x v="0"/>
    <s v="NEE"/>
    <s v="90.0"/>
    <s v="De monteur heeft een lekkage aan de installatie (buiten de ketel) verholpen. Volgens regel 2 vallen dergelijke lekken aan de installatie buiten het contract, dus deze werkzaamheden moeten worden gefactureerd aan de klant."/>
    <s v="Storingscode 006.2 - Lekkage aan de installatie"/>
    <n v="865775"/>
    <x v="3"/>
    <x v="0"/>
    <m/>
  </r>
  <r>
    <s v="2026-02-14T13:24:53.442239"/>
    <n v="3004200"/>
    <s v="W2547729"/>
    <s v="005102 - Trivire"/>
    <d v="2025-12-15T00:00:00"/>
    <s v="Trivire_Tablis_rhiant.txt"/>
    <x v="1"/>
    <s v="JA"/>
    <s v="90.0"/>
    <s v="De monteur heeft de installatie gevuld en ontlucht, wat volgens regel 1 altijd binnen het contract valt. De storingscode 002 'Geen WW' duidt op een probleem met de warmwatervoorziening, wat binnen de ketel valt. De oorzaakcode 'ALG - Algemene werkzaamheden' bevestigt dat het om reguliere werkzaamheden binnen de ketel gaat."/>
    <s v="Binnen de mantel van de cv-ketel, Installatie gevuld en ontlucht"/>
    <n v="41659"/>
    <x v="3"/>
    <x v="0"/>
    <m/>
  </r>
  <r>
    <s v="2026-02-14T13:24:53.442239"/>
    <n v="3004000"/>
    <s v="W2547634"/>
    <s v="005102 - Trivire"/>
    <d v="2025-12-15T00:00:00"/>
    <s v="Trivire_Tablis_rhiant.txt"/>
    <x v="1"/>
    <s v="JA"/>
    <s v="90.0"/>
    <s v="De monteur heeft onderhoud uitgevoerd aan de cv-ketel en de zonneboiler gecontroleerd. Aangezien de werkzaamheden binnen de mantel van de cv-ketel plaatsvinden, vallen deze onder het contract volgens regel 3."/>
    <s v="Binnen de mantel van de cv-ketel, onderhoud cv-ketel"/>
    <n v="327705"/>
    <x v="5"/>
    <x v="0"/>
    <s v="TWIJFEL"/>
  </r>
  <r>
    <s v="2026-02-14T13:24:53.442239"/>
    <n v="3003676"/>
    <s v="W2547480"/>
    <s v="005102 - Trivire"/>
    <d v="2025-12-15T00:00:00"/>
    <s v="Trivire_Tablis_rhiant.txt"/>
    <x v="1"/>
    <s v="JA"/>
    <s v="90.0"/>
    <s v="De werkbon valt binnen het contract, omdat de monteur een storing aan de cv-ketel heeft verholpen. Volgens de contractvoorwaarden zijn storingen aan de cv-ketel, inclusief onderdelen binnen de mantel, binnen het contract. De storingscode 003 - 'GEEN CV en WW' duidt op een probleem met de cv-ketel, wat binnen het contract valt."/>
    <s v="Binnen contract - Storingen aan cv-ketel"/>
    <n v="373255"/>
    <x v="1"/>
    <x v="0"/>
    <s v="JA"/>
  </r>
  <r>
    <s v="2026-02-14T13:24:53.442239"/>
    <n v="3003674"/>
    <s v="W2547479"/>
    <s v="005102 - Trivire"/>
    <d v="2025-12-15T00:00:00"/>
    <s v="Trivire_Tablis_rhiant.txt"/>
    <x v="1"/>
    <s v="JA"/>
    <s v="90.0"/>
    <s v="De werkbon valt binnen het contract, omdat de monteur een storing aan de cv-installatie heeft verholpen. Volgens de contractvoorwaarden vallen storingen aan de cv-installatie binnen het contract, ongeacht de locatie van de storing (binnen of buiten de ketelkast)."/>
    <s v="Binnen contract - Storingen aan cv-installatie"/>
    <n v="34092"/>
    <x v="3"/>
    <x v="0"/>
    <m/>
  </r>
  <r>
    <s v="2026-02-14T13:24:53.442239"/>
    <n v="3003433"/>
    <s v="W2547475"/>
    <s v="005102 - Trivire"/>
    <d v="2025-12-15T00:00:00"/>
    <s v="Trivire_Tablis_rhiant.txt"/>
    <x v="1"/>
    <s v="JA"/>
    <s v="100.0"/>
    <s v="De monteur heeft een defecte radiatorkraan in de hal vervangen. Radiatorkranen vallen altijd binnen het contract, ongeacht de locatie (&lt; 2m of &gt; 2m van de ketel). Daarom valt deze werkbon binnen het contract."/>
    <s v="Radiatorkranen en appendages zijn binnen contract"/>
    <n v="132277"/>
    <x v="6"/>
    <x v="0"/>
    <s v="NEE"/>
  </r>
  <r>
    <s v="2026-02-14T13:24:53.442239"/>
    <n v="3003278"/>
    <s v="W2547463"/>
    <s v="005102 - Trivire"/>
    <d v="2025-12-14T00:00:00"/>
    <s v="Trivire_Tablis_rhiant.txt"/>
    <x v="0"/>
    <s v="NEE"/>
    <s v="100.0"/>
    <s v="De werkbon valt buiten het contract, omdat de oorzaakcode 900 'Probleem door derde' is. Dit betekent dat het probleem is veroorzaakt door een derde partij, en niet door de cv-installatie zelf. Volgens regel 0 vallen werkzaamheden met oorzaakcode 900 altijd buiten het contract, ongeacht andere regels."/>
    <s v="Oorzaakcode 900 - Probleem door derde"/>
    <n v="6914699999999990"/>
    <x v="3"/>
    <x v="0"/>
    <m/>
  </r>
  <r>
    <s v="2026-02-14T13:24:53.442239"/>
    <n v="3003236"/>
    <s v="W2547442"/>
    <s v="005102 - Trivire"/>
    <d v="2025-12-13T00:00:00"/>
    <s v="Trivire_Tablis_rhiant.txt"/>
    <x v="1"/>
    <s v="JA"/>
    <s v="90.0"/>
    <s v="De monteur heeft een storing aan de Viessmann Vitodens 100 WB1C cv-ketel verholpen. Aangezien dit een onderdeel is dat deel uitmaakt van de cv-ketel zelf, valt dit binnen het contract volgens de contractvoorwaarden."/>
    <s v="Binnen de mantel van de cv-ketel: Onderdelen die deel uitmaken van de cv-ketel zelf"/>
    <n v="62891"/>
    <x v="1"/>
    <x v="0"/>
    <s v="JA"/>
  </r>
  <r>
    <s v="2026-02-14T13:26:53.913776"/>
    <n v="3003226"/>
    <s v="W2547436"/>
    <s v="005102 - Trivire"/>
    <d v="2025-12-12T00:00:00"/>
    <s v="Trivire_Tablis_rhiant.txt"/>
    <x v="0"/>
    <s v="NEE"/>
    <s v="90.0"/>
    <s v="De werkbon valt buiten het contract, omdat de oorzaakcode 900 'Probleem door derde' is. Dit geldt altijd, ongeacht de storingscode. De monteur heeft een lekkage onder de ketel (storingscode 006.1) verholpen, maar omdat de oorzaak bij een derde partij lag, is dit niet binnen het contract."/>
    <s v="Regel 0 - Oorzaakcode 900 'Probleem door derde'"/>
    <n v="67938"/>
    <x v="1"/>
    <x v="0"/>
    <s v="NEE"/>
  </r>
  <r>
    <s v="2026-02-14T13:26:53.913776"/>
    <n v="3002328"/>
    <s v="W2547289"/>
    <s v="005102 - Trivire"/>
    <d v="2025-12-11T00:00:00"/>
    <s v="Trivire_Tablis_rhiant.txt"/>
    <x v="0"/>
    <s v="NEE"/>
    <s v="100.0"/>
    <s v="De oorzaakcode 900 - Probleem door derde geeft aan dat het probleem is veroorzaakt door een derde partij. Volgens regel 0 vallen dergelijke werkzaamheden ALTIJD buiten het contract, ongeacht andere regels. Daarom is deze werkbon als NEE geclassificeerd."/>
    <s v="Oorzaakcode 900 - Probleem door derde"/>
    <n v="167541"/>
    <x v="3"/>
    <x v="0"/>
    <m/>
  </r>
  <r>
    <s v="2026-02-14T13:26:53.913776"/>
    <n v="3002257"/>
    <s v="W2547281"/>
    <s v="005102 - Trivire"/>
    <d v="2025-12-11T00:00:00"/>
    <s v="Trivire_Tablis_rhiant.txt"/>
    <x v="1"/>
    <s v="JA"/>
    <s v="90.0"/>
    <s v="De monteur heeft een lekkage onder de cv-ketel verholpen, waarbij hij onderdelen van de ketel zelf heeft vervangen (3-wegklep, actuator, binnenwerk). Dit valt binnen het contract volgens de regels 'Ketelonderdelen' en 'Storingscode 006.1 Lekkage ONDER de ketel'."/>
    <s v="Binnen de mantel van de cv-ketel"/>
    <n v="208633"/>
    <x v="3"/>
    <x v="0"/>
    <m/>
  </r>
  <r>
    <s v="2026-02-14T13:26:53.913776"/>
    <n v="3002173"/>
    <s v="W2547270"/>
    <s v="005102 - Trivire"/>
    <d v="2025-12-11T00:00:00"/>
    <s v="Trivire_Tablis_rhiant.txt"/>
    <x v="1"/>
    <s v="JA"/>
    <s v="100.0"/>
    <s v="De monteur heeft een defecte radiatorkraan/knop vervangen. Radiatorkranen vallen altijd binnen het contract, ongeacht de locatie (&lt; 2m of &gt; 2m van de ketel). Daarom classificeer ik deze werkbon als 'JA', binnen contract."/>
    <s v="Radiatorkranen en appendages zijn binnen contract"/>
    <n v="5.1349999999999904E+16"/>
    <x v="3"/>
    <x v="0"/>
    <m/>
  </r>
  <r>
    <s v="2026-02-14T13:26:53.913776"/>
    <n v="3001811"/>
    <s v="W2547240"/>
    <s v="005102 - Trivire"/>
    <d v="2025-12-11T00:00:00"/>
    <s v="Trivire_Tablis_rhiant.txt"/>
    <x v="1"/>
    <s v="JA"/>
    <s v="90.0"/>
    <s v="De werkzaamheden vallen binnen het contract, omdat de monteur een onderdeel van de cv-ketel (expansievat) heeft vervangen. Volgens regel 1 zijn ketelonderdelen zoals het expansievat altijd binnen contract, ongeacht de locatie."/>
    <s v="Binnen de mantel van de cv-ketel, onderdelen van de cv-ketel"/>
    <n v="261378"/>
    <x v="3"/>
    <x v="0"/>
    <m/>
  </r>
  <r>
    <s v="2026-02-14T13:26:53.913776"/>
    <n v="3000802"/>
    <s v="W2547120"/>
    <s v="005102 - Trivire"/>
    <d v="2025-12-10T00:00:00"/>
    <s v="Trivire_Tablis_rhiant.txt"/>
    <x v="1"/>
    <s v="JA"/>
    <s v="100.0"/>
    <s v="De monteur heeft een defecte radiatorkraan in de woonkamer en slaapkamer gerepareerd. Radiatorkranen vallen volgens het contract altijd binnen het contract, ongeacht de locatie (&lt; 2m of &gt; 2m van de ketel). Daarom vallen deze werkzaamheden binnen het contract."/>
    <s v="Radiatorkranen en appendages zijn binnen contract"/>
    <n v="1179865"/>
    <x v="6"/>
    <x v="0"/>
    <s v="NEE"/>
  </r>
  <r>
    <s v="2026-02-14T13:26:53.913776"/>
    <n v="3000490"/>
    <s v="W2547085"/>
    <s v="005102 - Trivire"/>
    <d v="2025-12-10T00:00:00"/>
    <s v="Trivire_Tablis_rhiant.txt"/>
    <x v="1"/>
    <s v="JA"/>
    <s v="90.0"/>
    <s v="De monteur heeft een lekkage onder de cv-ketel verholpen, wat volgens regel 1 binnen het contract valt. De storingscode 006.1 geeft aan dat de lekkage zich onder de ketel bevond, dus binnen de 2 meter van de ketel. Daarom valt dit binnen het contract."/>
    <s v="Binnen de mantel van de cv-ketel: Lekkage onder de ketel (storingscode 006.1)"/>
    <s v="117.15"/>
    <x v="3"/>
    <x v="0"/>
    <m/>
  </r>
  <r>
    <s v="2026-02-14T13:26:53.913776"/>
    <n v="3000775"/>
    <s v="W2547114"/>
    <s v="005102 - Trivire"/>
    <d v="2025-12-10T00:00:00"/>
    <s v="Trivire_Tablis_rhiant.txt"/>
    <x v="1"/>
    <s v="JA"/>
    <s v="100.0"/>
    <s v="De werkbon valt binnen het contract, omdat de monteur een defecte radiatorkraan heeft gerepareerd. Radiatorkranen vallen altijd binnen het contract, ongeacht de locatie (&lt; 2m of &gt; 2m van de ketel)."/>
    <s v="Radiatorkranen en appendages"/>
    <n v="5.137E+16"/>
    <x v="6"/>
    <x v="0"/>
    <s v="NEE"/>
  </r>
  <r>
    <s v="2026-02-14T13:26:53.913776"/>
    <n v="3000791"/>
    <s v="W2547118"/>
    <s v="005102 - Trivire"/>
    <d v="2025-12-10T00:00:00"/>
    <s v="Trivire_Tablis_rhiant.txt"/>
    <x v="0"/>
    <s v="NEE"/>
    <s v="90.0"/>
    <s v="De monteur heeft een lekkage onder de ketel (storingscode 006.1) verholpen, maar de oorzaak was een probleem door een derde partij (oorzaakcode 900). Volgens regel 0 vallen werkzaamheden met oorzaakcode 900 altijd buiten het contract, ongeacht de andere details."/>
    <s v="Regel 0 - Oorzaakcode 900 'Probleem door derde'"/>
    <n v="35545"/>
    <x v="3"/>
    <x v="0"/>
    <m/>
  </r>
  <r>
    <s v="2026-02-14T13:26:53.913776"/>
    <n v="3001034"/>
    <s v="W2547140"/>
    <s v="005102 - Trivire"/>
    <d v="2025-12-10T00:00:00"/>
    <s v="Trivire_Tablis_rhiant.txt"/>
    <x v="1"/>
    <s v="JA"/>
    <s v="90.0"/>
    <s v="De monteur heeft een lekkage onder de cv-ketel verholpen, wat binnen het contract valt volgens regel 1 (Storingscode 006.1 'Lekkage ONDER de ketel'). De werkzaamheden betreffen onderdelen die deel uitmaken van de cv-ketel zelf, dus binnen de mantel (&lt; 2 meter)."/>
    <s v="Rhiant (Alles binnen &lt; 2 m van de ketel binnen contract)"/>
    <n v="9745349999999990"/>
    <x v="7"/>
    <x v="0"/>
    <s v="NEE"/>
  </r>
  <r>
    <s v="2026-02-14T13:29:33.100499"/>
    <n v="2998023"/>
    <s v="W2546622"/>
    <s v="005102 - Trivire"/>
    <d v="2025-12-08T00:00:00"/>
    <s v="Trivire_Tablis_rhiant.txt"/>
    <x v="0"/>
    <s v="NEE"/>
    <s v="90.0"/>
    <s v="De werkzaamheden betreffen een storing aan de CV en warmwatervoorziening, wat volgens regel 0 altijd buiten contract valt. De monteur heeft meerdere keren geprobeerd de storing te verhelpen, maar dit is niet gelukt. Daarom is dit geheel buiten contract en moet dit gefactureerd worden aan de klant."/>
    <s v="Geen CV en WW is buiten contract"/>
    <n v="1.31809499999999E+16"/>
    <x v="8"/>
    <x v="2"/>
    <e v="#N/A"/>
  </r>
  <r>
    <s v="2026-02-14T13:29:33.100499"/>
    <n v="2997868"/>
    <s v="W2546524"/>
    <s v="005102 - Trivire"/>
    <d v="2025-12-08T00:00:00"/>
    <s v="Trivire_Tablis_rhiant.txt"/>
    <x v="1"/>
    <s v="JA"/>
    <s v="90.0"/>
    <s v="De monteur heeft een storing aan de cv-ketel verholpen door onderdelen te vervangen. Dit valt binnen het contract, omdat de werkzaamheden zich binnen de mantel van de cv-ketel bevinden en het gaat om vervanging van ketelonderdelen (storingscode 003 - GEEN CV en WW, oorzaakcode 200 - Installatie probleem)."/>
    <s v="Binnen de mantel van de cv-ketel, Ketelonderdelen"/>
    <n v="3175065"/>
    <x v="3"/>
    <x v="0"/>
    <m/>
  </r>
  <r>
    <s v="2026-02-14T13:29:33.100499"/>
    <n v="2997853"/>
    <s v="W2546520"/>
    <s v="005102 - Trivire"/>
    <d v="2025-12-08T00:00:00"/>
    <s v="Trivire_Tablis_rhiant.txt"/>
    <x v="1"/>
    <s v="JA"/>
    <s v="90.0"/>
    <s v="De monteur heeft een lekkage onder de cv-ketel verholpen, wat volgens regel 3 binnen het contract valt. De storingscode 006.1 'Lekkage onder de ketel' geeft aan dat de lekkage zich binnen de mantel van de ketel bevond, dus binnen 2 meter van de ketel. Daarom valt deze werkzaamheid binnen het contract."/>
    <s v="Binnen de mantel van de cv-ketel"/>
    <n v="458625"/>
    <x v="3"/>
    <x v="0"/>
    <m/>
  </r>
  <r>
    <s v="2026-02-14T13:29:33.100499"/>
    <n v="2997749"/>
    <s v="W2546472"/>
    <s v="005102 - Trivire"/>
    <d v="2025-12-08T00:00:00"/>
    <s v="Trivire_Tablis_rhiant.txt"/>
    <x v="1"/>
    <s v="JA"/>
    <s v="90.0"/>
    <s v="De werkzaamheden vallen binnen het contract, omdat de monteur de kamerthermostaat heeft vervangen. Radiatorkranen en kamerthermostaten zijn expliciet genoemd als onderdelen die binnen het contract vallen, ongeacht de locatie. Daarnaast is er ook sprake van het vullen en ontluchten van de installatie, wat ook altijd binnen contract is."/>
    <s v="Radiatorkranen, Kamerthermostaat, Installatie gevuld en ontlucht"/>
    <n v="4.7585249999999904E+16"/>
    <x v="3"/>
    <x v="0"/>
    <m/>
  </r>
  <r>
    <s v="2026-02-14T13:29:33.100499"/>
    <n v="2997412"/>
    <s v="W2546419"/>
    <s v="005102 - Trivire"/>
    <d v="2025-12-07T00:00:00"/>
    <s v="Trivire_Tablis_rhiant.txt"/>
    <x v="1"/>
    <s v="JA"/>
    <s v="90.0"/>
    <s v="De monteur heeft storingen aan de cv-ketel verholpen, waarbij hij onderdelen zoals een cartridge en hallsensor heeft vervangen. Dit valt binnen het contract, aangezien het gaat om onderdelen die deel uitmaken van de cv-ketel zelf (binnen de mantel)."/>
    <s v="Binnen de mantel van de cv-ketel"/>
    <n v="233599"/>
    <x v="3"/>
    <x v="0"/>
    <m/>
  </r>
  <r>
    <s v="2026-02-14T13:29:33.100499"/>
    <n v="2997407"/>
    <s v="W2546415"/>
    <s v="005102 - Trivire"/>
    <d v="2025-12-07T00:00:00"/>
    <s v="Trivire_Tablis_rhiant.txt"/>
    <x v="1"/>
    <s v="JA"/>
    <s v="90.0"/>
    <s v="De monteur heeft een onderdeel van de cv-ketel (ontstekingstrafo) vervangen. Dit valt binnen het contract volgens de regels 'Ketelonderdelen' en 'Binnen de mantel (&lt; 2m van cv-ketel)'."/>
    <s v="Binnen de mantel van de cv-ketel: onderdelen van de cv-ketel zelf"/>
    <n v="1728355"/>
    <x v="3"/>
    <x v="0"/>
    <m/>
  </r>
  <r>
    <s v="2026-02-14T13:29:33.100499"/>
    <n v="2997406"/>
    <s v="W2546414"/>
    <s v="005102 - Trivire"/>
    <d v="2025-12-07T00:00:00"/>
    <s v="Trivire_Tablis_rhiant.txt"/>
    <x v="1"/>
    <s v="JA"/>
    <s v="100.0"/>
    <s v="De monteur heeft een defecte radiatorkraan in de woonkamer vervangen. Radiatorkranen vallen altijd binnen het contract, ongeacht de locatie (&lt; 2m of &gt; 2m van de ketel)."/>
    <s v="Radiatorkranen en appendages"/>
    <n v="3093835"/>
    <x v="9"/>
    <x v="2"/>
    <m/>
  </r>
  <r>
    <s v="2026-02-14T13:29:33.100499"/>
    <n v="2997389"/>
    <s v="W2546402"/>
    <s v="005102 - Trivire"/>
    <d v="2025-12-06T00:00:00"/>
    <s v="Trivire_Tablis_rhiant.txt"/>
    <x v="1"/>
    <s v="JA"/>
    <s v="90.0"/>
    <s v="De werkbon valt binnen het contract, omdat de monteur een storing aan de cv-installatie heeft verholpen. Volgens de contractvoorwaarden vallen storingen aan de cv-installatie binnen het contract, ongeacht de locatie van de storing (binnen of buiten de ketelkast)."/>
    <s v="Binnen contract - Storingen aan cv-installatie"/>
    <n v="165645"/>
    <x v="3"/>
    <x v="0"/>
    <m/>
  </r>
  <r>
    <s v="2026-02-14T13:29:33.100499"/>
    <n v="2997362"/>
    <s v="W2546391"/>
    <s v="005102 - Trivire"/>
    <d v="2025-12-06T00:00:00"/>
    <s v="Trivire_Tablis_rhiant.txt"/>
    <x v="1"/>
    <s v="JA"/>
    <s v="90.0"/>
    <s v="De werkbon valt binnen het contract, omdat de monteur een lekkage onder de ketel heeft verholpen. Storingscode 006.1 'Lekkage onder de ketel' valt volgens de contractvoorwaarden binnen het contract, omdat dit binnen de mantel (&lt; 2 meter) van de cv-ketel plaatsvindt."/>
    <s v="Rhiant (Alles binnen &lt; 2 m van de ketel binnen contract)"/>
    <n v="95461"/>
    <x v="3"/>
    <x v="0"/>
    <m/>
  </r>
  <r>
    <s v="2026-02-14T13:29:33.100499"/>
    <n v="2997349"/>
    <s v="W2546388"/>
    <s v="005102 - Trivire"/>
    <d v="2025-12-06T00:00:00"/>
    <s v="Trivire_Tablis_rhiant.txt"/>
    <x v="1"/>
    <s v="JA"/>
    <s v="90.0"/>
    <s v="De monteur heeft een storing aan de cv-ketel verholpen door een defecte ventilator te vervangen. Vervanging van onderdelen die deel uitmaken van de cv-ketel zelf vallen binnen het contract, ook als deze onderdelen duur zijn."/>
    <s v="Binnen de mantel van de cv-ketel"/>
    <n v="4804295"/>
    <x v="3"/>
    <x v="0"/>
    <m/>
  </r>
  <r>
    <m/>
    <m/>
    <m/>
    <m/>
    <m/>
    <m/>
    <x v="2"/>
    <m/>
    <m/>
    <m/>
    <m/>
    <m/>
    <x v="3"/>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0AF880-1F64-48AB-B439-A29223E2C993}" name="Draaitabel1"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12" firstHeaderRow="1" firstDataRow="1" firstDataCol="1" rowPageCount="1" colPageCount="1"/>
  <pivotFields count="15">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axis="axisPage" multipleItemSelectionAllowed="1" showAll="0">
      <items count="11">
        <item x="1"/>
        <item x="8"/>
        <item x="5"/>
        <item x="0"/>
        <item x="6"/>
        <item x="7"/>
        <item x="2"/>
        <item h="1" x="4"/>
        <item x="9"/>
        <item x="3"/>
        <item t="default"/>
      </items>
    </pivotField>
    <pivotField axis="axisRow" showAll="0">
      <items count="5">
        <item x="2"/>
        <item x="0"/>
        <item x="1"/>
        <item x="3"/>
        <item t="default"/>
      </items>
    </pivotField>
    <pivotField showAll="0"/>
  </pivotFields>
  <rowFields count="2">
    <field x="6"/>
    <field x="13"/>
  </rowFields>
  <rowItems count="9">
    <i>
      <x/>
    </i>
    <i r="1">
      <x/>
    </i>
    <i r="1">
      <x v="1"/>
    </i>
    <i>
      <x v="1"/>
    </i>
    <i r="1">
      <x/>
    </i>
    <i r="1">
      <x v="1"/>
    </i>
    <i>
      <x v="2"/>
    </i>
    <i r="1">
      <x v="3"/>
    </i>
    <i t="grand">
      <x/>
    </i>
  </rowItems>
  <colItems count="1">
    <i/>
  </colItems>
  <pageFields count="1">
    <pageField fld="12" hier="-1"/>
  </pageFields>
  <dataFields count="1">
    <dataField name="Aantal van classificati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2D96-9524-42EE-994E-0B293B2CA454}">
  <dimension ref="A1:B16"/>
  <sheetViews>
    <sheetView workbookViewId="0">
      <selection activeCell="B24" sqref="B24"/>
    </sheetView>
  </sheetViews>
  <sheetFormatPr defaultRowHeight="15" x14ac:dyDescent="0.25"/>
  <cols>
    <col min="1" max="1" width="10.5703125" bestFit="1" customWidth="1"/>
    <col min="2" max="2" width="20.28515625" bestFit="1" customWidth="1"/>
  </cols>
  <sheetData>
    <row r="1" spans="1:2" x14ac:dyDescent="0.25">
      <c r="A1" s="7" t="s">
        <v>128</v>
      </c>
      <c r="B1" t="s">
        <v>257</v>
      </c>
    </row>
    <row r="3" spans="1:2" x14ac:dyDescent="0.25">
      <c r="A3" s="7" t="s">
        <v>253</v>
      </c>
      <c r="B3" t="s">
        <v>256</v>
      </c>
    </row>
    <row r="4" spans="1:2" x14ac:dyDescent="0.25">
      <c r="A4" s="8" t="s">
        <v>21</v>
      </c>
      <c r="B4">
        <v>31</v>
      </c>
    </row>
    <row r="5" spans="1:2" x14ac:dyDescent="0.25">
      <c r="A5" s="9" t="s">
        <v>144</v>
      </c>
      <c r="B5">
        <v>1</v>
      </c>
    </row>
    <row r="6" spans="1:2" x14ac:dyDescent="0.25">
      <c r="A6" s="9" t="s">
        <v>146</v>
      </c>
      <c r="B6">
        <v>30</v>
      </c>
    </row>
    <row r="7" spans="1:2" x14ac:dyDescent="0.25">
      <c r="A7" s="8" t="s">
        <v>16</v>
      </c>
      <c r="B7">
        <v>8</v>
      </c>
    </row>
    <row r="8" spans="1:2" x14ac:dyDescent="0.25">
      <c r="A8" s="9" t="s">
        <v>144</v>
      </c>
      <c r="B8">
        <v>1</v>
      </c>
    </row>
    <row r="9" spans="1:2" x14ac:dyDescent="0.25">
      <c r="A9" s="9" t="s">
        <v>146</v>
      </c>
      <c r="B9">
        <v>7</v>
      </c>
    </row>
    <row r="10" spans="1:2" x14ac:dyDescent="0.25">
      <c r="A10" s="8" t="s">
        <v>254</v>
      </c>
    </row>
    <row r="11" spans="1:2" x14ac:dyDescent="0.25">
      <c r="A11" s="9" t="s">
        <v>254</v>
      </c>
    </row>
    <row r="12" spans="1:2" x14ac:dyDescent="0.25">
      <c r="A12" s="8" t="s">
        <v>255</v>
      </c>
      <c r="B12">
        <v>39</v>
      </c>
    </row>
    <row r="15" spans="1:2" x14ac:dyDescent="0.25">
      <c r="B15">
        <f>GETPIVOTDATA("classificatie",$A$3,"classificatie","NEE","WVC","goed")+GETPIVOTDATA("classificatie",$A$3,"classificatie","JA","WVC","goed")</f>
        <v>37</v>
      </c>
    </row>
    <row r="16" spans="1:2" x14ac:dyDescent="0.25">
      <c r="B16" s="10">
        <f>B15/GETPIVOTDATA("classificatie",$A$3)</f>
        <v>0.94871794871794868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FC87-0081-433B-B3E1-D347AE82669B}">
  <dimension ref="A1:N41"/>
  <sheetViews>
    <sheetView tabSelected="1" topLeftCell="D1" workbookViewId="0">
      <selection activeCell="K11" sqref="K11"/>
    </sheetView>
  </sheetViews>
  <sheetFormatPr defaultRowHeight="15" x14ac:dyDescent="0.25"/>
  <cols>
    <col min="1" max="1" width="25.7109375" bestFit="1" customWidth="1"/>
    <col min="2" max="2" width="14.5703125" bestFit="1" customWidth="1"/>
    <col min="3" max="3" width="16.140625" bestFit="1" customWidth="1"/>
    <col min="4" max="4" width="14.140625" bestFit="1" customWidth="1"/>
    <col min="5" max="5" width="10.42578125" bestFit="1" customWidth="1"/>
    <col min="6" max="6" width="21.85546875" bestFit="1" customWidth="1"/>
    <col min="7" max="7" width="14" bestFit="1" customWidth="1"/>
    <col min="8" max="8" width="20" bestFit="1" customWidth="1"/>
    <col min="9" max="9" width="13" bestFit="1" customWidth="1"/>
    <col min="10" max="11" width="25.7109375" customWidth="1"/>
    <col min="12" max="12" width="21.140625" bestFit="1" customWidth="1"/>
    <col min="13" max="13" width="76" bestFit="1" customWidth="1"/>
    <col min="14" max="14" width="7.28515625" bestFit="1" customWidth="1"/>
  </cols>
  <sheetData>
    <row r="1" spans="1:14" x14ac:dyDescent="0.25">
      <c r="A1" t="s">
        <v>0</v>
      </c>
      <c r="B1" t="s">
        <v>1</v>
      </c>
      <c r="C1" t="s">
        <v>2</v>
      </c>
      <c r="D1" t="s">
        <v>3</v>
      </c>
      <c r="E1" t="s">
        <v>4</v>
      </c>
      <c r="F1" t="s">
        <v>5</v>
      </c>
      <c r="G1" t="s">
        <v>6</v>
      </c>
      <c r="H1" t="s">
        <v>7</v>
      </c>
      <c r="I1" t="s">
        <v>8</v>
      </c>
      <c r="J1" t="s">
        <v>9</v>
      </c>
      <c r="K1" t="s">
        <v>10</v>
      </c>
      <c r="L1" t="s">
        <v>11</v>
      </c>
      <c r="M1" t="s">
        <v>128</v>
      </c>
      <c r="N1" t="s">
        <v>129</v>
      </c>
    </row>
    <row r="2" spans="1:14" x14ac:dyDescent="0.25">
      <c r="A2" t="s">
        <v>12</v>
      </c>
      <c r="B2">
        <v>3010988</v>
      </c>
      <c r="C2" t="s">
        <v>13</v>
      </c>
      <c r="D2" t="s">
        <v>14</v>
      </c>
      <c r="E2" s="1">
        <v>46010</v>
      </c>
      <c r="F2" t="s">
        <v>15</v>
      </c>
      <c r="G2" t="s">
        <v>16</v>
      </c>
      <c r="H2" t="s">
        <v>16</v>
      </c>
      <c r="I2" t="s">
        <v>17</v>
      </c>
      <c r="J2" t="s">
        <v>18</v>
      </c>
      <c r="K2" t="s">
        <v>19</v>
      </c>
      <c r="L2" s="2">
        <v>729815</v>
      </c>
      <c r="M2" t="s">
        <v>143</v>
      </c>
      <c r="N2" t="s">
        <v>146</v>
      </c>
    </row>
    <row r="3" spans="1:14" x14ac:dyDescent="0.25">
      <c r="A3" t="s">
        <v>12</v>
      </c>
      <c r="B3">
        <v>3010931</v>
      </c>
      <c r="C3" t="s">
        <v>20</v>
      </c>
      <c r="D3" t="s">
        <v>14</v>
      </c>
      <c r="E3" s="1">
        <v>46009</v>
      </c>
      <c r="F3" t="s">
        <v>15</v>
      </c>
      <c r="G3" t="s">
        <v>21</v>
      </c>
      <c r="H3" t="s">
        <v>21</v>
      </c>
      <c r="I3" t="s">
        <v>22</v>
      </c>
      <c r="J3" t="s">
        <v>23</v>
      </c>
      <c r="K3" t="s">
        <v>24</v>
      </c>
      <c r="L3" s="2">
        <v>8947749999999990</v>
      </c>
      <c r="M3">
        <v>0</v>
      </c>
      <c r="N3" t="str">
        <f>VLOOKUP(C3,'V2 geschiedenis'!$C$1:$N$41,12,FALSE)</f>
        <v>goed</v>
      </c>
    </row>
    <row r="4" spans="1:14" x14ac:dyDescent="0.25">
      <c r="A4" t="s">
        <v>12</v>
      </c>
      <c r="B4">
        <v>3010648</v>
      </c>
      <c r="C4" t="s">
        <v>25</v>
      </c>
      <c r="D4" t="s">
        <v>14</v>
      </c>
      <c r="E4" s="1">
        <v>46009</v>
      </c>
      <c r="F4" t="s">
        <v>15</v>
      </c>
      <c r="G4" t="s">
        <v>21</v>
      </c>
      <c r="H4" t="s">
        <v>21</v>
      </c>
      <c r="I4" t="s">
        <v>17</v>
      </c>
      <c r="J4" t="s">
        <v>26</v>
      </c>
      <c r="K4" t="s">
        <v>27</v>
      </c>
      <c r="L4" s="2">
        <v>1.15994499999999E+16</v>
      </c>
      <c r="M4">
        <v>0</v>
      </c>
      <c r="N4" t="str">
        <f>VLOOKUP(C4,'V2 geschiedenis'!$C$1:$N$41,12,FALSE)</f>
        <v>goed</v>
      </c>
    </row>
    <row r="5" spans="1:14" x14ac:dyDescent="0.25">
      <c r="A5" t="s">
        <v>12</v>
      </c>
      <c r="B5">
        <v>3010631</v>
      </c>
      <c r="C5" t="s">
        <v>28</v>
      </c>
      <c r="D5" t="s">
        <v>14</v>
      </c>
      <c r="E5" s="1">
        <v>46009</v>
      </c>
      <c r="F5" t="s">
        <v>15</v>
      </c>
      <c r="G5" t="s">
        <v>21</v>
      </c>
      <c r="H5" t="s">
        <v>21</v>
      </c>
      <c r="I5" t="s">
        <v>22</v>
      </c>
      <c r="J5" t="s">
        <v>29</v>
      </c>
      <c r="K5" t="s">
        <v>30</v>
      </c>
      <c r="L5" s="2">
        <v>115716</v>
      </c>
      <c r="M5">
        <v>0</v>
      </c>
      <c r="N5" t="str">
        <f>VLOOKUP(C5,'V2 geschiedenis'!$C$1:$N$41,12,FALSE)</f>
        <v>goed</v>
      </c>
    </row>
    <row r="6" spans="1:14" x14ac:dyDescent="0.25">
      <c r="A6" t="s">
        <v>12</v>
      </c>
      <c r="B6">
        <v>3010455</v>
      </c>
      <c r="C6" t="s">
        <v>31</v>
      </c>
      <c r="D6" t="s">
        <v>14</v>
      </c>
      <c r="E6" s="1">
        <v>46009</v>
      </c>
      <c r="F6" t="s">
        <v>15</v>
      </c>
      <c r="G6" t="s">
        <v>21</v>
      </c>
      <c r="H6" t="s">
        <v>21</v>
      </c>
      <c r="I6" t="s">
        <v>22</v>
      </c>
      <c r="J6" t="s">
        <v>32</v>
      </c>
      <c r="K6" t="s">
        <v>33</v>
      </c>
      <c r="L6" t="s">
        <v>34</v>
      </c>
      <c r="M6">
        <v>0</v>
      </c>
      <c r="N6" t="str">
        <f>VLOOKUP(C6,'V2 geschiedenis'!$C$1:$N$41,12,FALSE)</f>
        <v>goed</v>
      </c>
    </row>
    <row r="7" spans="1:14" x14ac:dyDescent="0.25">
      <c r="A7" t="s">
        <v>12</v>
      </c>
      <c r="B7">
        <v>3009733</v>
      </c>
      <c r="C7" t="s">
        <v>35</v>
      </c>
      <c r="D7" t="s">
        <v>14</v>
      </c>
      <c r="E7" s="1">
        <v>46008</v>
      </c>
      <c r="F7" t="s">
        <v>15</v>
      </c>
      <c r="G7" t="s">
        <v>16</v>
      </c>
      <c r="H7" t="s">
        <v>16</v>
      </c>
      <c r="I7" t="s">
        <v>22</v>
      </c>
      <c r="J7" t="s">
        <v>36</v>
      </c>
      <c r="K7" t="s">
        <v>37</v>
      </c>
      <c r="L7" s="2">
        <v>205742</v>
      </c>
      <c r="M7" t="s">
        <v>155</v>
      </c>
      <c r="N7" t="s">
        <v>146</v>
      </c>
    </row>
    <row r="8" spans="1:14" x14ac:dyDescent="0.25">
      <c r="A8" t="s">
        <v>12</v>
      </c>
      <c r="B8">
        <v>3009393</v>
      </c>
      <c r="C8" t="s">
        <v>38</v>
      </c>
      <c r="D8" t="s">
        <v>14</v>
      </c>
      <c r="E8" s="1">
        <v>46008</v>
      </c>
      <c r="F8" t="s">
        <v>15</v>
      </c>
      <c r="G8" t="s">
        <v>21</v>
      </c>
      <c r="H8" t="s">
        <v>21</v>
      </c>
      <c r="I8" t="s">
        <v>17</v>
      </c>
      <c r="J8" t="s">
        <v>39</v>
      </c>
      <c r="K8" t="s">
        <v>40</v>
      </c>
      <c r="L8" s="2">
        <v>1052495</v>
      </c>
      <c r="N8" t="s">
        <v>146</v>
      </c>
    </row>
    <row r="9" spans="1:14" x14ac:dyDescent="0.25">
      <c r="A9" t="s">
        <v>12</v>
      </c>
      <c r="B9">
        <v>3009366</v>
      </c>
      <c r="C9" t="s">
        <v>41</v>
      </c>
      <c r="D9" t="s">
        <v>14</v>
      </c>
      <c r="E9" s="1">
        <v>46008</v>
      </c>
      <c r="F9" t="s">
        <v>15</v>
      </c>
      <c r="G9" t="s">
        <v>21</v>
      </c>
      <c r="H9" t="s">
        <v>21</v>
      </c>
      <c r="I9" t="s">
        <v>22</v>
      </c>
      <c r="J9" t="s">
        <v>42</v>
      </c>
      <c r="K9" t="s">
        <v>43</v>
      </c>
      <c r="L9" s="2">
        <v>2.355205E+16</v>
      </c>
      <c r="N9" t="s">
        <v>146</v>
      </c>
    </row>
    <row r="10" spans="1:14" x14ac:dyDescent="0.25">
      <c r="A10" t="s">
        <v>12</v>
      </c>
      <c r="B10">
        <v>3009173</v>
      </c>
      <c r="C10" t="s">
        <v>44</v>
      </c>
      <c r="D10" t="s">
        <v>14</v>
      </c>
      <c r="E10" s="1">
        <v>46008</v>
      </c>
      <c r="F10" t="s">
        <v>15</v>
      </c>
      <c r="G10" t="s">
        <v>21</v>
      </c>
      <c r="H10" t="s">
        <v>21</v>
      </c>
      <c r="I10" t="s">
        <v>22</v>
      </c>
      <c r="J10" t="s">
        <v>45</v>
      </c>
      <c r="K10" t="s">
        <v>46</v>
      </c>
      <c r="L10" s="2">
        <v>21485</v>
      </c>
      <c r="N10" t="s">
        <v>146</v>
      </c>
    </row>
    <row r="11" spans="1:14" x14ac:dyDescent="0.25">
      <c r="A11" s="4" t="s">
        <v>12</v>
      </c>
      <c r="B11" s="4">
        <v>3009146</v>
      </c>
      <c r="C11" s="4" t="s">
        <v>47</v>
      </c>
      <c r="D11" s="4" t="s">
        <v>14</v>
      </c>
      <c r="E11" s="5">
        <v>46008</v>
      </c>
      <c r="F11" s="4" t="s">
        <v>15</v>
      </c>
      <c r="G11" s="4" t="s">
        <v>21</v>
      </c>
      <c r="H11" s="4" t="s">
        <v>21</v>
      </c>
      <c r="I11" s="4" t="s">
        <v>22</v>
      </c>
      <c r="J11" s="4" t="s">
        <v>48</v>
      </c>
      <c r="K11" s="4" t="s">
        <v>49</v>
      </c>
      <c r="L11" s="6">
        <v>99274</v>
      </c>
      <c r="M11" s="4" t="s">
        <v>155</v>
      </c>
      <c r="N11" s="4" t="str">
        <f>VLOOKUP(C11,'V2 geschiedenis'!$C$1:$N$41,12,FALSE)</f>
        <v>goed</v>
      </c>
    </row>
    <row r="12" spans="1:14" x14ac:dyDescent="0.25">
      <c r="A12" t="s">
        <v>50</v>
      </c>
      <c r="B12">
        <v>3004668</v>
      </c>
      <c r="C12" t="s">
        <v>51</v>
      </c>
      <c r="D12" t="s">
        <v>14</v>
      </c>
      <c r="E12" s="1">
        <v>46006</v>
      </c>
      <c r="F12" t="s">
        <v>15</v>
      </c>
      <c r="G12" t="s">
        <v>21</v>
      </c>
      <c r="H12" t="s">
        <v>21</v>
      </c>
      <c r="I12" t="s">
        <v>22</v>
      </c>
      <c r="J12" t="s">
        <v>52</v>
      </c>
      <c r="K12" t="s">
        <v>30</v>
      </c>
      <c r="L12" s="2">
        <v>71646</v>
      </c>
      <c r="M12" t="s">
        <v>137</v>
      </c>
      <c r="N12" t="s">
        <v>138</v>
      </c>
    </row>
    <row r="13" spans="1:14" x14ac:dyDescent="0.25">
      <c r="A13" t="s">
        <v>50</v>
      </c>
      <c r="B13">
        <v>3004600</v>
      </c>
      <c r="C13" t="s">
        <v>53</v>
      </c>
      <c r="D13" t="s">
        <v>14</v>
      </c>
      <c r="E13" s="1">
        <v>46006</v>
      </c>
      <c r="F13" t="s">
        <v>15</v>
      </c>
      <c r="G13" t="s">
        <v>21</v>
      </c>
      <c r="H13" t="s">
        <v>21</v>
      </c>
      <c r="I13" t="s">
        <v>22</v>
      </c>
      <c r="J13" t="s">
        <v>54</v>
      </c>
      <c r="K13" t="s">
        <v>55</v>
      </c>
      <c r="L13" s="2">
        <v>88707</v>
      </c>
      <c r="N13" t="s">
        <v>146</v>
      </c>
    </row>
    <row r="14" spans="1:14" x14ac:dyDescent="0.25">
      <c r="A14" t="s">
        <v>50</v>
      </c>
      <c r="B14">
        <v>3004558</v>
      </c>
      <c r="C14" t="s">
        <v>56</v>
      </c>
      <c r="D14" t="s">
        <v>14</v>
      </c>
      <c r="E14" s="1">
        <v>46006</v>
      </c>
      <c r="F14" t="s">
        <v>15</v>
      </c>
      <c r="G14" t="s">
        <v>16</v>
      </c>
      <c r="H14" t="s">
        <v>16</v>
      </c>
      <c r="I14" t="s">
        <v>22</v>
      </c>
      <c r="J14" t="s">
        <v>57</v>
      </c>
      <c r="K14" t="s">
        <v>58</v>
      </c>
      <c r="L14" s="2">
        <v>865775</v>
      </c>
      <c r="N14" t="s">
        <v>146</v>
      </c>
    </row>
    <row r="15" spans="1:14" x14ac:dyDescent="0.25">
      <c r="A15" t="s">
        <v>50</v>
      </c>
      <c r="B15">
        <v>3004200</v>
      </c>
      <c r="C15" t="s">
        <v>59</v>
      </c>
      <c r="D15" t="s">
        <v>14</v>
      </c>
      <c r="E15" s="1">
        <v>46006</v>
      </c>
      <c r="F15" t="s">
        <v>15</v>
      </c>
      <c r="G15" t="s">
        <v>21</v>
      </c>
      <c r="H15" t="s">
        <v>21</v>
      </c>
      <c r="I15" t="s">
        <v>22</v>
      </c>
      <c r="J15" t="s">
        <v>60</v>
      </c>
      <c r="K15" t="s">
        <v>61</v>
      </c>
      <c r="L15" s="2">
        <v>41659</v>
      </c>
      <c r="N15" t="s">
        <v>146</v>
      </c>
    </row>
    <row r="16" spans="1:14" x14ac:dyDescent="0.25">
      <c r="A16" t="s">
        <v>50</v>
      </c>
      <c r="B16">
        <v>3004000</v>
      </c>
      <c r="C16" t="s">
        <v>62</v>
      </c>
      <c r="D16" t="s">
        <v>14</v>
      </c>
      <c r="E16" s="1">
        <v>46006</v>
      </c>
      <c r="F16" t="s">
        <v>15</v>
      </c>
      <c r="G16" t="s">
        <v>21</v>
      </c>
      <c r="H16" t="s">
        <v>21</v>
      </c>
      <c r="I16" t="s">
        <v>22</v>
      </c>
      <c r="J16" t="s">
        <v>63</v>
      </c>
      <c r="K16" t="s">
        <v>64</v>
      </c>
      <c r="L16" s="2">
        <v>327705</v>
      </c>
      <c r="M16" t="s">
        <v>172</v>
      </c>
      <c r="N16" t="s">
        <v>146</v>
      </c>
    </row>
    <row r="17" spans="1:14" x14ac:dyDescent="0.25">
      <c r="A17" t="s">
        <v>50</v>
      </c>
      <c r="B17">
        <v>3003676</v>
      </c>
      <c r="C17" t="s">
        <v>65</v>
      </c>
      <c r="D17" t="s">
        <v>14</v>
      </c>
      <c r="E17" s="1">
        <v>46006</v>
      </c>
      <c r="F17" t="s">
        <v>15</v>
      </c>
      <c r="G17" t="s">
        <v>21</v>
      </c>
      <c r="H17" t="s">
        <v>21</v>
      </c>
      <c r="I17" t="s">
        <v>22</v>
      </c>
      <c r="J17" t="s">
        <v>66</v>
      </c>
      <c r="K17" t="s">
        <v>67</v>
      </c>
      <c r="L17" s="2">
        <v>373255</v>
      </c>
      <c r="M17">
        <v>0</v>
      </c>
      <c r="N17" t="str">
        <f>VLOOKUP(C17,'V2 geschiedenis'!$C$1:$N$41,12,FALSE)</f>
        <v>goed</v>
      </c>
    </row>
    <row r="18" spans="1:14" x14ac:dyDescent="0.25">
      <c r="A18" t="s">
        <v>50</v>
      </c>
      <c r="B18">
        <v>3003674</v>
      </c>
      <c r="C18" t="s">
        <v>68</v>
      </c>
      <c r="D18" t="s">
        <v>14</v>
      </c>
      <c r="E18" s="1">
        <v>46006</v>
      </c>
      <c r="F18" t="s">
        <v>15</v>
      </c>
      <c r="G18" t="s">
        <v>21</v>
      </c>
      <c r="H18" t="s">
        <v>21</v>
      </c>
      <c r="I18" t="s">
        <v>22</v>
      </c>
      <c r="J18" t="s">
        <v>69</v>
      </c>
      <c r="K18" t="s">
        <v>70</v>
      </c>
      <c r="L18" s="2">
        <v>34092</v>
      </c>
      <c r="N18" t="s">
        <v>146</v>
      </c>
    </row>
    <row r="19" spans="1:14" x14ac:dyDescent="0.25">
      <c r="A19" t="s">
        <v>50</v>
      </c>
      <c r="B19">
        <v>3003433</v>
      </c>
      <c r="C19" t="s">
        <v>71</v>
      </c>
      <c r="D19" t="s">
        <v>14</v>
      </c>
      <c r="E19" s="1">
        <v>46006</v>
      </c>
      <c r="F19" t="s">
        <v>15</v>
      </c>
      <c r="G19" t="s">
        <v>21</v>
      </c>
      <c r="H19" t="s">
        <v>21</v>
      </c>
      <c r="I19" t="s">
        <v>17</v>
      </c>
      <c r="J19" t="s">
        <v>72</v>
      </c>
      <c r="K19" t="s">
        <v>73</v>
      </c>
      <c r="L19" s="2">
        <v>132277</v>
      </c>
      <c r="M19" t="s">
        <v>193</v>
      </c>
      <c r="N19" t="s">
        <v>146</v>
      </c>
    </row>
    <row r="20" spans="1:14" x14ac:dyDescent="0.25">
      <c r="A20" t="s">
        <v>50</v>
      </c>
      <c r="B20">
        <v>3003278</v>
      </c>
      <c r="C20" t="s">
        <v>74</v>
      </c>
      <c r="D20" t="s">
        <v>14</v>
      </c>
      <c r="E20" s="1">
        <v>46005</v>
      </c>
      <c r="F20" t="s">
        <v>15</v>
      </c>
      <c r="G20" t="s">
        <v>16</v>
      </c>
      <c r="H20" t="s">
        <v>16</v>
      </c>
      <c r="I20" t="s">
        <v>17</v>
      </c>
      <c r="J20" t="s">
        <v>75</v>
      </c>
      <c r="K20" t="s">
        <v>19</v>
      </c>
      <c r="L20" s="2">
        <v>6914699999999990</v>
      </c>
      <c r="N20" t="s">
        <v>146</v>
      </c>
    </row>
    <row r="21" spans="1:14" x14ac:dyDescent="0.25">
      <c r="A21" t="s">
        <v>50</v>
      </c>
      <c r="B21">
        <v>3003236</v>
      </c>
      <c r="C21" t="s">
        <v>76</v>
      </c>
      <c r="D21" t="s">
        <v>14</v>
      </c>
      <c r="E21" s="1">
        <v>46004</v>
      </c>
      <c r="F21" t="s">
        <v>15</v>
      </c>
      <c r="G21" t="s">
        <v>21</v>
      </c>
      <c r="H21" t="s">
        <v>21</v>
      </c>
      <c r="I21" t="s">
        <v>22</v>
      </c>
      <c r="J21" t="s">
        <v>77</v>
      </c>
      <c r="K21" t="s">
        <v>78</v>
      </c>
      <c r="L21" s="2">
        <v>62891</v>
      </c>
      <c r="M21">
        <v>0</v>
      </c>
      <c r="N21" t="str">
        <f>VLOOKUP(C21,'V2 geschiedenis'!$C$1:$N$41,12,FALSE)</f>
        <v>goed</v>
      </c>
    </row>
    <row r="22" spans="1:14" x14ac:dyDescent="0.25">
      <c r="A22" t="s">
        <v>79</v>
      </c>
      <c r="B22">
        <v>3003226</v>
      </c>
      <c r="C22" t="s">
        <v>80</v>
      </c>
      <c r="D22" t="s">
        <v>14</v>
      </c>
      <c r="E22" s="1">
        <v>46003</v>
      </c>
      <c r="F22" t="s">
        <v>15</v>
      </c>
      <c r="G22" t="s">
        <v>16</v>
      </c>
      <c r="H22" t="s">
        <v>16</v>
      </c>
      <c r="I22" t="s">
        <v>22</v>
      </c>
      <c r="J22" t="s">
        <v>81</v>
      </c>
      <c r="K22" t="s">
        <v>82</v>
      </c>
      <c r="L22" s="2">
        <v>67938</v>
      </c>
      <c r="M22">
        <v>0</v>
      </c>
      <c r="N22" t="str">
        <f>VLOOKUP(C22,'V2 geschiedenis'!$C$1:$N$41,12,FALSE)</f>
        <v>goed</v>
      </c>
    </row>
    <row r="23" spans="1:14" x14ac:dyDescent="0.25">
      <c r="A23" t="s">
        <v>79</v>
      </c>
      <c r="B23">
        <v>3002328</v>
      </c>
      <c r="C23" t="s">
        <v>83</v>
      </c>
      <c r="D23" t="s">
        <v>14</v>
      </c>
      <c r="E23" s="1">
        <v>46002</v>
      </c>
      <c r="F23" t="s">
        <v>15</v>
      </c>
      <c r="G23" t="s">
        <v>16</v>
      </c>
      <c r="H23" t="s">
        <v>16</v>
      </c>
      <c r="I23" t="s">
        <v>17</v>
      </c>
      <c r="J23" t="s">
        <v>84</v>
      </c>
      <c r="K23" t="s">
        <v>19</v>
      </c>
      <c r="L23" s="2">
        <v>167541</v>
      </c>
      <c r="N23" t="s">
        <v>146</v>
      </c>
    </row>
    <row r="24" spans="1:14" x14ac:dyDescent="0.25">
      <c r="A24" t="s">
        <v>79</v>
      </c>
      <c r="B24">
        <v>3002257</v>
      </c>
      <c r="C24" t="s">
        <v>85</v>
      </c>
      <c r="D24" t="s">
        <v>14</v>
      </c>
      <c r="E24" s="1">
        <v>46002</v>
      </c>
      <c r="F24" t="s">
        <v>15</v>
      </c>
      <c r="G24" t="s">
        <v>21</v>
      </c>
      <c r="H24" t="s">
        <v>21</v>
      </c>
      <c r="I24" t="s">
        <v>22</v>
      </c>
      <c r="J24" t="s">
        <v>86</v>
      </c>
      <c r="K24" t="s">
        <v>87</v>
      </c>
      <c r="L24" s="2">
        <v>208633</v>
      </c>
      <c r="N24" t="s">
        <v>146</v>
      </c>
    </row>
    <row r="25" spans="1:14" x14ac:dyDescent="0.25">
      <c r="A25" t="s">
        <v>79</v>
      </c>
      <c r="B25">
        <v>3002173</v>
      </c>
      <c r="C25" t="s">
        <v>88</v>
      </c>
      <c r="D25" t="s">
        <v>14</v>
      </c>
      <c r="E25" s="1">
        <v>46002</v>
      </c>
      <c r="F25" t="s">
        <v>15</v>
      </c>
      <c r="G25" t="s">
        <v>21</v>
      </c>
      <c r="H25" t="s">
        <v>21</v>
      </c>
      <c r="I25" t="s">
        <v>17</v>
      </c>
      <c r="J25" t="s">
        <v>89</v>
      </c>
      <c r="K25" t="s">
        <v>73</v>
      </c>
      <c r="L25" s="2">
        <v>5.1349999999999904E+16</v>
      </c>
      <c r="N25" t="s">
        <v>146</v>
      </c>
    </row>
    <row r="26" spans="1:14" x14ac:dyDescent="0.25">
      <c r="A26" t="s">
        <v>79</v>
      </c>
      <c r="B26">
        <v>3001811</v>
      </c>
      <c r="C26" t="s">
        <v>90</v>
      </c>
      <c r="D26" t="s">
        <v>14</v>
      </c>
      <c r="E26" s="1">
        <v>46002</v>
      </c>
      <c r="F26" t="s">
        <v>15</v>
      </c>
      <c r="G26" t="s">
        <v>21</v>
      </c>
      <c r="H26" t="s">
        <v>21</v>
      </c>
      <c r="I26" t="s">
        <v>22</v>
      </c>
      <c r="J26" t="s">
        <v>91</v>
      </c>
      <c r="K26" t="s">
        <v>24</v>
      </c>
      <c r="L26" s="2">
        <v>261378</v>
      </c>
      <c r="N26" t="s">
        <v>146</v>
      </c>
    </row>
    <row r="27" spans="1:14" x14ac:dyDescent="0.25">
      <c r="A27" t="s">
        <v>79</v>
      </c>
      <c r="B27">
        <v>3000802</v>
      </c>
      <c r="C27" t="s">
        <v>92</v>
      </c>
      <c r="D27" t="s">
        <v>14</v>
      </c>
      <c r="E27" s="1">
        <v>46001</v>
      </c>
      <c r="F27" t="s">
        <v>15</v>
      </c>
      <c r="G27" t="s">
        <v>21</v>
      </c>
      <c r="H27" t="s">
        <v>21</v>
      </c>
      <c r="I27" t="s">
        <v>17</v>
      </c>
      <c r="J27" t="s">
        <v>93</v>
      </c>
      <c r="K27" t="s">
        <v>73</v>
      </c>
      <c r="L27" s="2">
        <v>1179865</v>
      </c>
      <c r="M27" t="s">
        <v>193</v>
      </c>
      <c r="N27" t="s">
        <v>146</v>
      </c>
    </row>
    <row r="28" spans="1:14" x14ac:dyDescent="0.25">
      <c r="A28" t="s">
        <v>79</v>
      </c>
      <c r="B28">
        <v>3000490</v>
      </c>
      <c r="C28" t="s">
        <v>94</v>
      </c>
      <c r="D28" t="s">
        <v>14</v>
      </c>
      <c r="E28" s="1">
        <v>46001</v>
      </c>
      <c r="F28" t="s">
        <v>15</v>
      </c>
      <c r="G28" t="s">
        <v>21</v>
      </c>
      <c r="H28" t="s">
        <v>21</v>
      </c>
      <c r="I28" t="s">
        <v>22</v>
      </c>
      <c r="J28" t="s">
        <v>95</v>
      </c>
      <c r="K28" t="s">
        <v>96</v>
      </c>
      <c r="L28" t="s">
        <v>97</v>
      </c>
      <c r="N28" t="s">
        <v>146</v>
      </c>
    </row>
    <row r="29" spans="1:14" x14ac:dyDescent="0.25">
      <c r="A29" t="s">
        <v>79</v>
      </c>
      <c r="B29">
        <v>3000775</v>
      </c>
      <c r="C29" t="s">
        <v>98</v>
      </c>
      <c r="D29" t="s">
        <v>14</v>
      </c>
      <c r="E29" s="1">
        <v>46001</v>
      </c>
      <c r="F29" t="s">
        <v>15</v>
      </c>
      <c r="G29" t="s">
        <v>21</v>
      </c>
      <c r="H29" t="s">
        <v>21</v>
      </c>
      <c r="I29" t="s">
        <v>17</v>
      </c>
      <c r="J29" t="s">
        <v>99</v>
      </c>
      <c r="K29" t="s">
        <v>40</v>
      </c>
      <c r="L29" s="2">
        <v>5.137E+16</v>
      </c>
      <c r="M29" t="s">
        <v>193</v>
      </c>
      <c r="N29" t="s">
        <v>146</v>
      </c>
    </row>
    <row r="30" spans="1:14" x14ac:dyDescent="0.25">
      <c r="A30" t="s">
        <v>79</v>
      </c>
      <c r="B30">
        <v>3000791</v>
      </c>
      <c r="C30" t="s">
        <v>100</v>
      </c>
      <c r="D30" t="s">
        <v>14</v>
      </c>
      <c r="E30" s="1">
        <v>46001</v>
      </c>
      <c r="F30" t="s">
        <v>15</v>
      </c>
      <c r="G30" t="s">
        <v>16</v>
      </c>
      <c r="H30" t="s">
        <v>16</v>
      </c>
      <c r="I30" t="s">
        <v>22</v>
      </c>
      <c r="J30" t="s">
        <v>101</v>
      </c>
      <c r="K30" t="s">
        <v>82</v>
      </c>
      <c r="L30" s="2">
        <v>35545</v>
      </c>
      <c r="N30" t="s">
        <v>146</v>
      </c>
    </row>
    <row r="31" spans="1:14" x14ac:dyDescent="0.25">
      <c r="A31" t="s">
        <v>79</v>
      </c>
      <c r="B31">
        <v>3001034</v>
      </c>
      <c r="C31" t="s">
        <v>102</v>
      </c>
      <c r="D31" t="s">
        <v>14</v>
      </c>
      <c r="E31" s="1">
        <v>46001</v>
      </c>
      <c r="F31" t="s">
        <v>15</v>
      </c>
      <c r="G31" t="s">
        <v>21</v>
      </c>
      <c r="H31" t="s">
        <v>21</v>
      </c>
      <c r="I31" t="s">
        <v>22</v>
      </c>
      <c r="J31" t="s">
        <v>103</v>
      </c>
      <c r="K31" t="s">
        <v>49</v>
      </c>
      <c r="L31" s="2">
        <v>9745349999999990</v>
      </c>
      <c r="M31" t="s">
        <v>227</v>
      </c>
      <c r="N31" t="str">
        <f>VLOOKUP(C31,'V2 geschiedenis'!$C$1:$N$41,12,FALSE)</f>
        <v>goed</v>
      </c>
    </row>
    <row r="32" spans="1:14" x14ac:dyDescent="0.25">
      <c r="A32" t="s">
        <v>104</v>
      </c>
      <c r="B32">
        <v>2998023</v>
      </c>
      <c r="C32" t="s">
        <v>105</v>
      </c>
      <c r="D32" t="s">
        <v>14</v>
      </c>
      <c r="E32" s="1">
        <v>45999</v>
      </c>
      <c r="F32" t="s">
        <v>15</v>
      </c>
      <c r="G32" t="s">
        <v>16</v>
      </c>
      <c r="H32" t="s">
        <v>16</v>
      </c>
      <c r="I32" t="s">
        <v>22</v>
      </c>
      <c r="J32" t="s">
        <v>106</v>
      </c>
      <c r="K32" t="s">
        <v>107</v>
      </c>
      <c r="L32" s="2">
        <v>1.31809499999999E+16</v>
      </c>
      <c r="M32" t="s">
        <v>252</v>
      </c>
      <c r="N32" t="s">
        <v>144</v>
      </c>
    </row>
    <row r="33" spans="1:14" x14ac:dyDescent="0.25">
      <c r="A33" t="s">
        <v>104</v>
      </c>
      <c r="B33">
        <v>2997868</v>
      </c>
      <c r="C33" t="s">
        <v>108</v>
      </c>
      <c r="D33" t="s">
        <v>14</v>
      </c>
      <c r="E33" s="1">
        <v>45999</v>
      </c>
      <c r="F33" t="s">
        <v>15</v>
      </c>
      <c r="G33" t="s">
        <v>21</v>
      </c>
      <c r="H33" t="s">
        <v>21</v>
      </c>
      <c r="I33" t="s">
        <v>22</v>
      </c>
      <c r="J33" t="s">
        <v>109</v>
      </c>
      <c r="K33" t="s">
        <v>110</v>
      </c>
      <c r="L33" s="2">
        <v>3175065</v>
      </c>
      <c r="N33" t="s">
        <v>146</v>
      </c>
    </row>
    <row r="34" spans="1:14" x14ac:dyDescent="0.25">
      <c r="A34" t="s">
        <v>104</v>
      </c>
      <c r="B34">
        <v>2997853</v>
      </c>
      <c r="C34" t="s">
        <v>111</v>
      </c>
      <c r="D34" t="s">
        <v>14</v>
      </c>
      <c r="E34" s="1">
        <v>45999</v>
      </c>
      <c r="F34" t="s">
        <v>15</v>
      </c>
      <c r="G34" t="s">
        <v>21</v>
      </c>
      <c r="H34" t="s">
        <v>21</v>
      </c>
      <c r="I34" t="s">
        <v>22</v>
      </c>
      <c r="J34" t="s">
        <v>112</v>
      </c>
      <c r="K34" t="s">
        <v>87</v>
      </c>
      <c r="L34" s="2">
        <v>458625</v>
      </c>
      <c r="N34" t="s">
        <v>146</v>
      </c>
    </row>
    <row r="35" spans="1:14" x14ac:dyDescent="0.25">
      <c r="A35" t="s">
        <v>104</v>
      </c>
      <c r="B35">
        <v>2997749</v>
      </c>
      <c r="C35" t="s">
        <v>113</v>
      </c>
      <c r="D35" t="s">
        <v>14</v>
      </c>
      <c r="E35" s="1">
        <v>45999</v>
      </c>
      <c r="F35" t="s">
        <v>15</v>
      </c>
      <c r="G35" t="s">
        <v>21</v>
      </c>
      <c r="H35" t="s">
        <v>21</v>
      </c>
      <c r="I35" t="s">
        <v>22</v>
      </c>
      <c r="J35" t="s">
        <v>114</v>
      </c>
      <c r="K35" t="s">
        <v>115</v>
      </c>
      <c r="L35" s="2">
        <v>4.7585249999999904E+16</v>
      </c>
      <c r="N35" t="s">
        <v>146</v>
      </c>
    </row>
    <row r="36" spans="1:14" x14ac:dyDescent="0.25">
      <c r="A36" t="s">
        <v>104</v>
      </c>
      <c r="B36">
        <v>2997412</v>
      </c>
      <c r="C36" t="s">
        <v>116</v>
      </c>
      <c r="D36" t="s">
        <v>14</v>
      </c>
      <c r="E36" s="1">
        <v>45998</v>
      </c>
      <c r="F36" t="s">
        <v>15</v>
      </c>
      <c r="G36" t="s">
        <v>21</v>
      </c>
      <c r="H36" t="s">
        <v>21</v>
      </c>
      <c r="I36" t="s">
        <v>22</v>
      </c>
      <c r="J36" t="s">
        <v>117</v>
      </c>
      <c r="K36" t="s">
        <v>87</v>
      </c>
      <c r="L36" s="2">
        <v>233599</v>
      </c>
      <c r="N36" t="s">
        <v>146</v>
      </c>
    </row>
    <row r="37" spans="1:14" x14ac:dyDescent="0.25">
      <c r="A37" t="s">
        <v>104</v>
      </c>
      <c r="B37">
        <v>2997407</v>
      </c>
      <c r="C37" t="s">
        <v>118</v>
      </c>
      <c r="D37" t="s">
        <v>14</v>
      </c>
      <c r="E37" s="1">
        <v>45998</v>
      </c>
      <c r="F37" t="s">
        <v>15</v>
      </c>
      <c r="G37" t="s">
        <v>21</v>
      </c>
      <c r="H37" t="s">
        <v>21</v>
      </c>
      <c r="I37" t="s">
        <v>22</v>
      </c>
      <c r="J37" t="s">
        <v>119</v>
      </c>
      <c r="K37" t="s">
        <v>120</v>
      </c>
      <c r="L37" s="2">
        <v>1728355</v>
      </c>
      <c r="N37" t="s">
        <v>146</v>
      </c>
    </row>
    <row r="38" spans="1:14" x14ac:dyDescent="0.25">
      <c r="A38" t="s">
        <v>104</v>
      </c>
      <c r="B38">
        <v>2997406</v>
      </c>
      <c r="C38" t="s">
        <v>121</v>
      </c>
      <c r="D38" t="s">
        <v>14</v>
      </c>
      <c r="E38" s="1">
        <v>45998</v>
      </c>
      <c r="F38" t="s">
        <v>15</v>
      </c>
      <c r="G38" t="s">
        <v>21</v>
      </c>
      <c r="H38" t="s">
        <v>21</v>
      </c>
      <c r="I38" t="s">
        <v>17</v>
      </c>
      <c r="J38" t="s">
        <v>122</v>
      </c>
      <c r="K38" t="s">
        <v>40</v>
      </c>
      <c r="L38" s="2">
        <v>3093835</v>
      </c>
      <c r="M38" t="s">
        <v>251</v>
      </c>
      <c r="N38" t="s">
        <v>144</v>
      </c>
    </row>
    <row r="39" spans="1:14" x14ac:dyDescent="0.25">
      <c r="A39" t="s">
        <v>104</v>
      </c>
      <c r="B39">
        <v>2997389</v>
      </c>
      <c r="C39" t="s">
        <v>123</v>
      </c>
      <c r="D39" t="s">
        <v>14</v>
      </c>
      <c r="E39" s="1">
        <v>45997</v>
      </c>
      <c r="F39" t="s">
        <v>15</v>
      </c>
      <c r="G39" t="s">
        <v>21</v>
      </c>
      <c r="H39" t="s">
        <v>21</v>
      </c>
      <c r="I39" t="s">
        <v>22</v>
      </c>
      <c r="J39" t="s">
        <v>69</v>
      </c>
      <c r="K39" t="s">
        <v>70</v>
      </c>
      <c r="L39" s="2">
        <v>165645</v>
      </c>
      <c r="N39" t="s">
        <v>146</v>
      </c>
    </row>
    <row r="40" spans="1:14" x14ac:dyDescent="0.25">
      <c r="A40" t="s">
        <v>104</v>
      </c>
      <c r="B40">
        <v>2997362</v>
      </c>
      <c r="C40" t="s">
        <v>124</v>
      </c>
      <c r="D40" t="s">
        <v>14</v>
      </c>
      <c r="E40" s="1">
        <v>45997</v>
      </c>
      <c r="F40" t="s">
        <v>15</v>
      </c>
      <c r="G40" t="s">
        <v>21</v>
      </c>
      <c r="H40" t="s">
        <v>21</v>
      </c>
      <c r="I40" t="s">
        <v>22</v>
      </c>
      <c r="J40" t="s">
        <v>125</v>
      </c>
      <c r="K40" t="s">
        <v>49</v>
      </c>
      <c r="L40" s="2">
        <v>95461</v>
      </c>
      <c r="N40" t="s">
        <v>146</v>
      </c>
    </row>
    <row r="41" spans="1:14" x14ac:dyDescent="0.25">
      <c r="A41" t="s">
        <v>104</v>
      </c>
      <c r="B41">
        <v>2997349</v>
      </c>
      <c r="C41" t="s">
        <v>126</v>
      </c>
      <c r="D41" t="s">
        <v>14</v>
      </c>
      <c r="E41" s="1">
        <v>45997</v>
      </c>
      <c r="F41" t="s">
        <v>15</v>
      </c>
      <c r="G41" t="s">
        <v>21</v>
      </c>
      <c r="H41" t="s">
        <v>21</v>
      </c>
      <c r="I41" t="s">
        <v>22</v>
      </c>
      <c r="J41" t="s">
        <v>127</v>
      </c>
      <c r="K41" t="s">
        <v>87</v>
      </c>
      <c r="L41" s="2">
        <v>4804295</v>
      </c>
      <c r="N41" t="s">
        <v>146</v>
      </c>
    </row>
  </sheetData>
  <autoFilter ref="A1:N41" xr:uid="{C525FC87-0081-433B-B3E1-D347AE8266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3AD1-6978-4C0A-950E-37A6B0C883F1}">
  <dimension ref="A1:N41"/>
  <sheetViews>
    <sheetView topLeftCell="F1" workbookViewId="0">
      <selection activeCell="N7" sqref="N7"/>
    </sheetView>
  </sheetViews>
  <sheetFormatPr defaultRowHeight="15" x14ac:dyDescent="0.25"/>
  <cols>
    <col min="1" max="1" width="25.7109375" bestFit="1" customWidth="1"/>
    <col min="2" max="2" width="12.28515625" bestFit="1" customWidth="1"/>
    <col min="3" max="3" width="13.85546875" bestFit="1" customWidth="1"/>
    <col min="4" max="4" width="14.140625" bestFit="1" customWidth="1"/>
    <col min="5" max="5" width="10.42578125" bestFit="1" customWidth="1"/>
    <col min="6" max="6" width="21.85546875" bestFit="1" customWidth="1"/>
    <col min="7" max="7" width="11.7109375" bestFit="1" customWidth="1"/>
    <col min="8" max="8" width="17.7109375" bestFit="1" customWidth="1"/>
    <col min="9" max="9" width="10.7109375" bestFit="1" customWidth="1"/>
    <col min="10" max="11" width="25.7109375" customWidth="1"/>
    <col min="12" max="12" width="6.5703125" customWidth="1"/>
    <col min="13" max="13" width="59.140625" bestFit="1" customWidth="1"/>
  </cols>
  <sheetData>
    <row r="1" spans="1:14" x14ac:dyDescent="0.25">
      <c r="A1" t="s">
        <v>0</v>
      </c>
      <c r="B1" t="s">
        <v>1</v>
      </c>
      <c r="C1" t="s">
        <v>2</v>
      </c>
      <c r="D1" t="s">
        <v>3</v>
      </c>
      <c r="E1" t="s">
        <v>4</v>
      </c>
      <c r="F1" t="s">
        <v>5</v>
      </c>
      <c r="G1" t="s">
        <v>6</v>
      </c>
      <c r="H1" t="s">
        <v>7</v>
      </c>
      <c r="I1" t="s">
        <v>8</v>
      </c>
      <c r="J1" t="s">
        <v>9</v>
      </c>
      <c r="K1" t="s">
        <v>10</v>
      </c>
      <c r="L1" t="s">
        <v>130</v>
      </c>
      <c r="M1" t="s">
        <v>131</v>
      </c>
      <c r="N1" t="s">
        <v>132</v>
      </c>
    </row>
    <row r="2" spans="1:14" x14ac:dyDescent="0.25">
      <c r="A2" t="s">
        <v>133</v>
      </c>
      <c r="B2">
        <v>3011594</v>
      </c>
      <c r="C2" t="s">
        <v>134</v>
      </c>
      <c r="D2" t="s">
        <v>14</v>
      </c>
      <c r="E2" s="1">
        <v>46010</v>
      </c>
      <c r="F2" t="s">
        <v>15</v>
      </c>
      <c r="G2" t="s">
        <v>21</v>
      </c>
      <c r="H2" t="s">
        <v>21</v>
      </c>
      <c r="I2" t="s">
        <v>22</v>
      </c>
      <c r="J2" t="s">
        <v>135</v>
      </c>
      <c r="K2" t="s">
        <v>136</v>
      </c>
      <c r="L2" s="2">
        <v>24244</v>
      </c>
      <c r="M2" t="s">
        <v>137</v>
      </c>
      <c r="N2" t="s">
        <v>138</v>
      </c>
    </row>
    <row r="3" spans="1:14" x14ac:dyDescent="0.25">
      <c r="A3" t="s">
        <v>133</v>
      </c>
      <c r="B3">
        <v>3010988</v>
      </c>
      <c r="C3" t="s">
        <v>13</v>
      </c>
      <c r="D3" t="s">
        <v>14</v>
      </c>
      <c r="E3" s="1">
        <v>46010</v>
      </c>
      <c r="F3" t="s">
        <v>15</v>
      </c>
      <c r="G3" t="s">
        <v>139</v>
      </c>
      <c r="H3" t="s">
        <v>21</v>
      </c>
      <c r="I3" t="s">
        <v>140</v>
      </c>
      <c r="J3" t="s">
        <v>141</v>
      </c>
      <c r="K3" t="s">
        <v>142</v>
      </c>
      <c r="L3" s="2">
        <v>729815</v>
      </c>
      <c r="M3" t="s">
        <v>143</v>
      </c>
      <c r="N3" t="s">
        <v>144</v>
      </c>
    </row>
    <row r="4" spans="1:14" x14ac:dyDescent="0.25">
      <c r="A4" t="s">
        <v>133</v>
      </c>
      <c r="B4">
        <v>3010931</v>
      </c>
      <c r="C4" t="s">
        <v>20</v>
      </c>
      <c r="D4" t="s">
        <v>14</v>
      </c>
      <c r="E4" s="1">
        <v>46009</v>
      </c>
      <c r="F4" t="s">
        <v>15</v>
      </c>
      <c r="G4" t="s">
        <v>21</v>
      </c>
      <c r="H4" t="s">
        <v>21</v>
      </c>
      <c r="I4" t="s">
        <v>22</v>
      </c>
      <c r="J4" t="s">
        <v>145</v>
      </c>
      <c r="K4" t="s">
        <v>49</v>
      </c>
      <c r="L4" s="2">
        <v>8947749999999990</v>
      </c>
      <c r="N4" t="s">
        <v>146</v>
      </c>
    </row>
    <row r="5" spans="1:14" x14ac:dyDescent="0.25">
      <c r="A5" t="s">
        <v>133</v>
      </c>
      <c r="B5">
        <v>3010648</v>
      </c>
      <c r="C5" t="s">
        <v>25</v>
      </c>
      <c r="D5" t="s">
        <v>14</v>
      </c>
      <c r="E5" s="1">
        <v>46009</v>
      </c>
      <c r="F5" t="s">
        <v>15</v>
      </c>
      <c r="G5" t="s">
        <v>21</v>
      </c>
      <c r="H5" t="s">
        <v>21</v>
      </c>
      <c r="I5" t="s">
        <v>17</v>
      </c>
      <c r="J5" t="s">
        <v>147</v>
      </c>
      <c r="K5" t="s">
        <v>148</v>
      </c>
      <c r="L5" s="2">
        <v>1.15994499999999E+16</v>
      </c>
      <c r="N5" t="s">
        <v>146</v>
      </c>
    </row>
    <row r="6" spans="1:14" x14ac:dyDescent="0.25">
      <c r="A6" t="s">
        <v>133</v>
      </c>
      <c r="B6">
        <v>3010631</v>
      </c>
      <c r="C6" t="s">
        <v>28</v>
      </c>
      <c r="D6" t="s">
        <v>14</v>
      </c>
      <c r="E6" s="1">
        <v>46009</v>
      </c>
      <c r="F6" t="s">
        <v>15</v>
      </c>
      <c r="G6" t="s">
        <v>21</v>
      </c>
      <c r="H6" t="s">
        <v>21</v>
      </c>
      <c r="I6" t="s">
        <v>22</v>
      </c>
      <c r="J6" t="s">
        <v>149</v>
      </c>
      <c r="K6" t="s">
        <v>150</v>
      </c>
      <c r="L6" s="2">
        <v>115716</v>
      </c>
      <c r="N6" t="s">
        <v>146</v>
      </c>
    </row>
    <row r="7" spans="1:14" x14ac:dyDescent="0.25">
      <c r="A7" t="s">
        <v>133</v>
      </c>
      <c r="B7">
        <v>3010455</v>
      </c>
      <c r="C7" t="s">
        <v>31</v>
      </c>
      <c r="D7" t="s">
        <v>14</v>
      </c>
      <c r="E7" s="1">
        <v>46009</v>
      </c>
      <c r="F7" t="s">
        <v>15</v>
      </c>
      <c r="G7" t="s">
        <v>21</v>
      </c>
      <c r="H7" t="s">
        <v>21</v>
      </c>
      <c r="I7" t="s">
        <v>22</v>
      </c>
      <c r="J7" t="s">
        <v>151</v>
      </c>
      <c r="K7" t="s">
        <v>152</v>
      </c>
      <c r="L7" t="s">
        <v>34</v>
      </c>
      <c r="N7" t="s">
        <v>146</v>
      </c>
    </row>
    <row r="8" spans="1:14" x14ac:dyDescent="0.25">
      <c r="A8" t="s">
        <v>133</v>
      </c>
      <c r="B8">
        <v>3009146</v>
      </c>
      <c r="C8" t="s">
        <v>47</v>
      </c>
      <c r="D8" t="s">
        <v>14</v>
      </c>
      <c r="E8" s="1">
        <v>46008</v>
      </c>
      <c r="F8" t="s">
        <v>15</v>
      </c>
      <c r="G8" t="s">
        <v>16</v>
      </c>
      <c r="H8" t="s">
        <v>16</v>
      </c>
      <c r="I8" t="s">
        <v>22</v>
      </c>
      <c r="J8" t="s">
        <v>153</v>
      </c>
      <c r="K8" t="s">
        <v>154</v>
      </c>
      <c r="L8" s="2">
        <v>99274</v>
      </c>
      <c r="M8" s="3" t="s">
        <v>155</v>
      </c>
      <c r="N8" t="s">
        <v>146</v>
      </c>
    </row>
    <row r="9" spans="1:14" x14ac:dyDescent="0.25">
      <c r="A9" t="s">
        <v>133</v>
      </c>
      <c r="B9">
        <v>3008669</v>
      </c>
      <c r="C9" t="s">
        <v>156</v>
      </c>
      <c r="D9" t="s">
        <v>14</v>
      </c>
      <c r="E9" s="1">
        <v>46008</v>
      </c>
      <c r="F9" t="s">
        <v>15</v>
      </c>
      <c r="G9" t="s">
        <v>21</v>
      </c>
      <c r="H9" t="s">
        <v>21</v>
      </c>
      <c r="I9" t="s">
        <v>22</v>
      </c>
      <c r="J9" t="s">
        <v>157</v>
      </c>
      <c r="K9" t="s">
        <v>158</v>
      </c>
      <c r="L9" s="2">
        <v>380425</v>
      </c>
      <c r="N9" t="s">
        <v>146</v>
      </c>
    </row>
    <row r="10" spans="1:14" x14ac:dyDescent="0.25">
      <c r="A10" t="s">
        <v>133</v>
      </c>
      <c r="B10">
        <v>3008692</v>
      </c>
      <c r="C10" t="s">
        <v>159</v>
      </c>
      <c r="D10" t="s">
        <v>14</v>
      </c>
      <c r="E10" s="1">
        <v>46008</v>
      </c>
      <c r="F10" t="s">
        <v>15</v>
      </c>
      <c r="G10" t="s">
        <v>16</v>
      </c>
      <c r="H10" t="s">
        <v>16</v>
      </c>
      <c r="I10" t="s">
        <v>22</v>
      </c>
      <c r="J10" t="s">
        <v>160</v>
      </c>
      <c r="K10" t="s">
        <v>161</v>
      </c>
      <c r="L10" s="2">
        <v>1.489295E+16</v>
      </c>
      <c r="M10" t="s">
        <v>137</v>
      </c>
      <c r="N10" t="s">
        <v>138</v>
      </c>
    </row>
    <row r="11" spans="1:14" x14ac:dyDescent="0.25">
      <c r="A11" t="s">
        <v>133</v>
      </c>
      <c r="B11">
        <v>3008701</v>
      </c>
      <c r="C11" t="s">
        <v>162</v>
      </c>
      <c r="D11" t="s">
        <v>14</v>
      </c>
      <c r="E11" s="1">
        <v>46008</v>
      </c>
      <c r="F11" t="s">
        <v>15</v>
      </c>
      <c r="G11" t="s">
        <v>16</v>
      </c>
      <c r="H11" t="s">
        <v>16</v>
      </c>
      <c r="I11" t="s">
        <v>22</v>
      </c>
      <c r="J11" t="s">
        <v>163</v>
      </c>
      <c r="K11" t="s">
        <v>164</v>
      </c>
      <c r="L11" s="2">
        <v>3.3846E+16</v>
      </c>
      <c r="M11" t="s">
        <v>137</v>
      </c>
      <c r="N11" t="s">
        <v>138</v>
      </c>
    </row>
    <row r="12" spans="1:14" x14ac:dyDescent="0.25">
      <c r="A12" t="s">
        <v>165</v>
      </c>
      <c r="B12">
        <v>3008478</v>
      </c>
      <c r="C12" t="s">
        <v>166</v>
      </c>
      <c r="D12" t="s">
        <v>14</v>
      </c>
      <c r="E12" s="1">
        <v>46007</v>
      </c>
      <c r="F12" t="s">
        <v>15</v>
      </c>
      <c r="G12" t="s">
        <v>21</v>
      </c>
      <c r="H12" t="s">
        <v>21</v>
      </c>
      <c r="I12" t="s">
        <v>22</v>
      </c>
      <c r="J12" t="s">
        <v>167</v>
      </c>
      <c r="K12" t="s">
        <v>168</v>
      </c>
      <c r="L12" s="2">
        <v>4086375</v>
      </c>
      <c r="N12" t="s">
        <v>146</v>
      </c>
    </row>
    <row r="13" spans="1:14" x14ac:dyDescent="0.25">
      <c r="A13" t="s">
        <v>165</v>
      </c>
      <c r="B13">
        <v>3008375</v>
      </c>
      <c r="C13" t="s">
        <v>169</v>
      </c>
      <c r="D13" t="s">
        <v>14</v>
      </c>
      <c r="E13" s="1">
        <v>46007</v>
      </c>
      <c r="F13" t="s">
        <v>15</v>
      </c>
      <c r="G13" t="s">
        <v>139</v>
      </c>
      <c r="H13" t="s">
        <v>21</v>
      </c>
      <c r="I13" t="s">
        <v>170</v>
      </c>
      <c r="J13" t="s">
        <v>171</v>
      </c>
      <c r="K13" t="s">
        <v>87</v>
      </c>
      <c r="L13" s="2">
        <v>5.1724999999999904E+16</v>
      </c>
      <c r="M13" t="s">
        <v>172</v>
      </c>
      <c r="N13" t="s">
        <v>144</v>
      </c>
    </row>
    <row r="14" spans="1:14" x14ac:dyDescent="0.25">
      <c r="A14" t="s">
        <v>165</v>
      </c>
      <c r="B14">
        <v>3008294</v>
      </c>
      <c r="C14" t="s">
        <v>173</v>
      </c>
      <c r="D14" t="s">
        <v>14</v>
      </c>
      <c r="E14" s="1">
        <v>46007</v>
      </c>
      <c r="F14" t="s">
        <v>15</v>
      </c>
      <c r="G14" t="s">
        <v>21</v>
      </c>
      <c r="H14" t="s">
        <v>21</v>
      </c>
      <c r="I14" t="s">
        <v>22</v>
      </c>
      <c r="J14" t="s">
        <v>174</v>
      </c>
      <c r="K14" t="s">
        <v>87</v>
      </c>
      <c r="L14" s="2">
        <v>2.18329999999999E+16</v>
      </c>
      <c r="M14" t="s">
        <v>137</v>
      </c>
      <c r="N14" t="s">
        <v>138</v>
      </c>
    </row>
    <row r="15" spans="1:14" x14ac:dyDescent="0.25">
      <c r="A15" t="s">
        <v>165</v>
      </c>
      <c r="B15">
        <v>3008071</v>
      </c>
      <c r="C15" t="s">
        <v>175</v>
      </c>
      <c r="D15" t="s">
        <v>14</v>
      </c>
      <c r="E15" s="1">
        <v>46007</v>
      </c>
      <c r="F15" t="s">
        <v>15</v>
      </c>
      <c r="G15" t="s">
        <v>21</v>
      </c>
      <c r="H15" t="s">
        <v>21</v>
      </c>
      <c r="I15" t="s">
        <v>22</v>
      </c>
      <c r="J15" t="s">
        <v>176</v>
      </c>
      <c r="K15" t="s">
        <v>177</v>
      </c>
      <c r="L15" s="2">
        <v>2962375</v>
      </c>
      <c r="M15" t="s">
        <v>178</v>
      </c>
      <c r="N15" t="s">
        <v>144</v>
      </c>
    </row>
    <row r="16" spans="1:14" x14ac:dyDescent="0.25">
      <c r="A16" t="s">
        <v>165</v>
      </c>
      <c r="B16">
        <v>3007972</v>
      </c>
      <c r="C16" t="s">
        <v>179</v>
      </c>
      <c r="D16" t="s">
        <v>14</v>
      </c>
      <c r="E16" s="1">
        <v>46007</v>
      </c>
      <c r="F16" t="s">
        <v>15</v>
      </c>
      <c r="G16" t="s">
        <v>21</v>
      </c>
      <c r="H16" t="s">
        <v>21</v>
      </c>
      <c r="I16" t="s">
        <v>22</v>
      </c>
      <c r="J16" t="s">
        <v>180</v>
      </c>
      <c r="K16" t="s">
        <v>181</v>
      </c>
      <c r="L16" s="2">
        <v>2.10765E+16</v>
      </c>
      <c r="N16" t="s">
        <v>146</v>
      </c>
    </row>
    <row r="17" spans="1:14" x14ac:dyDescent="0.25">
      <c r="A17" t="s">
        <v>165</v>
      </c>
      <c r="B17">
        <v>3007818</v>
      </c>
      <c r="C17" t="s">
        <v>182</v>
      </c>
      <c r="D17" t="s">
        <v>14</v>
      </c>
      <c r="E17" s="1">
        <v>46007</v>
      </c>
      <c r="F17" t="s">
        <v>15</v>
      </c>
      <c r="G17" t="s">
        <v>21</v>
      </c>
      <c r="H17" t="s">
        <v>21</v>
      </c>
      <c r="I17" t="s">
        <v>22</v>
      </c>
      <c r="J17" t="s">
        <v>183</v>
      </c>
      <c r="K17" t="s">
        <v>184</v>
      </c>
      <c r="L17" s="2">
        <v>49943</v>
      </c>
      <c r="N17" t="s">
        <v>146</v>
      </c>
    </row>
    <row r="18" spans="1:14" x14ac:dyDescent="0.25">
      <c r="A18" t="s">
        <v>165</v>
      </c>
      <c r="B18">
        <v>3007693</v>
      </c>
      <c r="C18" t="s">
        <v>185</v>
      </c>
      <c r="D18" t="s">
        <v>14</v>
      </c>
      <c r="E18" s="1">
        <v>46007</v>
      </c>
      <c r="F18" t="s">
        <v>15</v>
      </c>
      <c r="G18" t="s">
        <v>21</v>
      </c>
      <c r="H18" t="s">
        <v>21</v>
      </c>
      <c r="I18" t="s">
        <v>22</v>
      </c>
      <c r="J18" t="s">
        <v>186</v>
      </c>
      <c r="K18" t="s">
        <v>187</v>
      </c>
      <c r="L18" s="2">
        <v>1.47154999999999E+16</v>
      </c>
      <c r="M18" t="s">
        <v>188</v>
      </c>
      <c r="N18" t="s">
        <v>144</v>
      </c>
    </row>
    <row r="19" spans="1:14" x14ac:dyDescent="0.25">
      <c r="A19" t="s">
        <v>165</v>
      </c>
      <c r="B19">
        <v>3004000</v>
      </c>
      <c r="C19" t="s">
        <v>62</v>
      </c>
      <c r="D19" t="s">
        <v>14</v>
      </c>
      <c r="E19" s="1">
        <v>46006</v>
      </c>
      <c r="F19" t="s">
        <v>15</v>
      </c>
      <c r="G19" t="s">
        <v>139</v>
      </c>
      <c r="H19" t="s">
        <v>21</v>
      </c>
      <c r="I19" t="s">
        <v>170</v>
      </c>
      <c r="J19" t="s">
        <v>189</v>
      </c>
      <c r="K19" t="s">
        <v>190</v>
      </c>
      <c r="L19" s="2">
        <v>327705</v>
      </c>
      <c r="M19" t="s">
        <v>172</v>
      </c>
      <c r="N19" t="s">
        <v>144</v>
      </c>
    </row>
    <row r="20" spans="1:14" x14ac:dyDescent="0.25">
      <c r="A20" t="s">
        <v>165</v>
      </c>
      <c r="B20">
        <v>3003433</v>
      </c>
      <c r="C20" t="s">
        <v>71</v>
      </c>
      <c r="D20" t="s">
        <v>14</v>
      </c>
      <c r="E20" s="1">
        <v>46006</v>
      </c>
      <c r="F20" t="s">
        <v>15</v>
      </c>
      <c r="G20" t="s">
        <v>16</v>
      </c>
      <c r="H20" t="s">
        <v>16</v>
      </c>
      <c r="I20" t="s">
        <v>22</v>
      </c>
      <c r="J20" t="s">
        <v>191</v>
      </c>
      <c r="K20" t="s">
        <v>192</v>
      </c>
      <c r="L20" s="2">
        <v>132277</v>
      </c>
      <c r="M20" t="s">
        <v>193</v>
      </c>
      <c r="N20" t="s">
        <v>144</v>
      </c>
    </row>
    <row r="21" spans="1:14" x14ac:dyDescent="0.25">
      <c r="A21" t="s">
        <v>165</v>
      </c>
      <c r="B21">
        <v>3003676</v>
      </c>
      <c r="C21" t="s">
        <v>65</v>
      </c>
      <c r="D21" t="s">
        <v>14</v>
      </c>
      <c r="E21" s="1">
        <v>46006</v>
      </c>
      <c r="F21" t="s">
        <v>15</v>
      </c>
      <c r="G21" t="s">
        <v>21</v>
      </c>
      <c r="H21" t="s">
        <v>21</v>
      </c>
      <c r="I21" t="s">
        <v>22</v>
      </c>
      <c r="J21" t="s">
        <v>194</v>
      </c>
      <c r="K21" t="s">
        <v>195</v>
      </c>
      <c r="L21" s="2">
        <v>373255</v>
      </c>
      <c r="N21" t="s">
        <v>146</v>
      </c>
    </row>
    <row r="22" spans="1:14" x14ac:dyDescent="0.25">
      <c r="A22" t="s">
        <v>196</v>
      </c>
      <c r="B22">
        <v>3003244</v>
      </c>
      <c r="C22" t="s">
        <v>197</v>
      </c>
      <c r="D22" t="s">
        <v>14</v>
      </c>
      <c r="E22" s="1">
        <v>46004</v>
      </c>
      <c r="F22" t="s">
        <v>15</v>
      </c>
      <c r="G22" t="s">
        <v>21</v>
      </c>
      <c r="H22" t="s">
        <v>21</v>
      </c>
      <c r="I22" t="s">
        <v>22</v>
      </c>
      <c r="J22" t="s">
        <v>198</v>
      </c>
      <c r="K22" t="s">
        <v>87</v>
      </c>
      <c r="L22" s="2">
        <v>184164</v>
      </c>
      <c r="N22" t="s">
        <v>146</v>
      </c>
    </row>
    <row r="23" spans="1:14" x14ac:dyDescent="0.25">
      <c r="A23" t="s">
        <v>196</v>
      </c>
      <c r="B23">
        <v>3003238</v>
      </c>
      <c r="C23" t="s">
        <v>199</v>
      </c>
      <c r="D23" t="s">
        <v>14</v>
      </c>
      <c r="E23" s="1">
        <v>46004</v>
      </c>
      <c r="F23" t="s">
        <v>15</v>
      </c>
      <c r="G23" t="s">
        <v>21</v>
      </c>
      <c r="H23" t="s">
        <v>21</v>
      </c>
      <c r="I23" t="s">
        <v>22</v>
      </c>
      <c r="J23" t="s">
        <v>200</v>
      </c>
      <c r="K23" t="s">
        <v>87</v>
      </c>
      <c r="L23" s="2">
        <v>120458</v>
      </c>
      <c r="N23" t="s">
        <v>146</v>
      </c>
    </row>
    <row r="24" spans="1:14" x14ac:dyDescent="0.25">
      <c r="A24" t="s">
        <v>196</v>
      </c>
      <c r="B24">
        <v>3003236</v>
      </c>
      <c r="C24" t="s">
        <v>76</v>
      </c>
      <c r="D24" t="s">
        <v>14</v>
      </c>
      <c r="E24" s="1">
        <v>46004</v>
      </c>
      <c r="F24" t="s">
        <v>15</v>
      </c>
      <c r="G24" t="s">
        <v>21</v>
      </c>
      <c r="H24" t="s">
        <v>21</v>
      </c>
      <c r="I24" t="s">
        <v>22</v>
      </c>
      <c r="J24" t="s">
        <v>201</v>
      </c>
      <c r="K24" t="s">
        <v>87</v>
      </c>
      <c r="L24" s="2">
        <v>62891</v>
      </c>
      <c r="N24" t="s">
        <v>146</v>
      </c>
    </row>
    <row r="25" spans="1:14" x14ac:dyDescent="0.25">
      <c r="A25" t="s">
        <v>196</v>
      </c>
      <c r="B25">
        <v>3003235</v>
      </c>
      <c r="C25" t="s">
        <v>202</v>
      </c>
      <c r="D25" t="s">
        <v>14</v>
      </c>
      <c r="E25" s="1">
        <v>46004</v>
      </c>
      <c r="F25" t="s">
        <v>15</v>
      </c>
      <c r="G25" t="s">
        <v>21</v>
      </c>
      <c r="H25" t="s">
        <v>21</v>
      </c>
      <c r="I25" t="s">
        <v>17</v>
      </c>
      <c r="J25" t="s">
        <v>203</v>
      </c>
      <c r="K25" t="s">
        <v>87</v>
      </c>
      <c r="L25" s="2">
        <v>8812049999999990</v>
      </c>
      <c r="N25" t="s">
        <v>146</v>
      </c>
    </row>
    <row r="26" spans="1:14" x14ac:dyDescent="0.25">
      <c r="A26" t="s">
        <v>196</v>
      </c>
      <c r="B26">
        <v>3003234</v>
      </c>
      <c r="C26" t="s">
        <v>204</v>
      </c>
      <c r="D26" t="s">
        <v>14</v>
      </c>
      <c r="E26" s="1">
        <v>46004</v>
      </c>
      <c r="F26" t="s">
        <v>15</v>
      </c>
      <c r="G26" t="s">
        <v>21</v>
      </c>
      <c r="H26" t="s">
        <v>21</v>
      </c>
      <c r="I26" t="s">
        <v>22</v>
      </c>
      <c r="J26" t="s">
        <v>205</v>
      </c>
      <c r="K26" t="s">
        <v>87</v>
      </c>
      <c r="L26" s="2">
        <v>1.105525E+16</v>
      </c>
      <c r="N26" t="s">
        <v>146</v>
      </c>
    </row>
    <row r="27" spans="1:14" x14ac:dyDescent="0.25">
      <c r="A27" t="s">
        <v>196</v>
      </c>
      <c r="B27">
        <v>3003226</v>
      </c>
      <c r="C27" t="s">
        <v>80</v>
      </c>
      <c r="D27" t="s">
        <v>14</v>
      </c>
      <c r="E27" s="1">
        <v>46003</v>
      </c>
      <c r="F27" t="s">
        <v>15</v>
      </c>
      <c r="G27" t="s">
        <v>16</v>
      </c>
      <c r="H27" t="s">
        <v>16</v>
      </c>
      <c r="I27" t="s">
        <v>22</v>
      </c>
      <c r="J27" t="s">
        <v>206</v>
      </c>
      <c r="K27" t="s">
        <v>49</v>
      </c>
      <c r="L27" s="2">
        <v>67938</v>
      </c>
      <c r="N27" t="s">
        <v>146</v>
      </c>
    </row>
    <row r="28" spans="1:14" x14ac:dyDescent="0.25">
      <c r="A28" t="s">
        <v>196</v>
      </c>
      <c r="B28">
        <v>3003200</v>
      </c>
      <c r="C28" t="s">
        <v>207</v>
      </c>
      <c r="D28" t="s">
        <v>14</v>
      </c>
      <c r="E28" s="1">
        <v>46003</v>
      </c>
      <c r="F28" t="s">
        <v>15</v>
      </c>
      <c r="G28" t="s">
        <v>21</v>
      </c>
      <c r="H28" t="s">
        <v>21</v>
      </c>
      <c r="I28" t="s">
        <v>22</v>
      </c>
      <c r="J28" t="s">
        <v>208</v>
      </c>
      <c r="K28" t="s">
        <v>87</v>
      </c>
      <c r="L28" s="2">
        <v>21847</v>
      </c>
      <c r="N28" t="s">
        <v>146</v>
      </c>
    </row>
    <row r="29" spans="1:14" x14ac:dyDescent="0.25">
      <c r="A29" t="s">
        <v>196</v>
      </c>
      <c r="B29">
        <v>3003090</v>
      </c>
      <c r="C29" t="s">
        <v>209</v>
      </c>
      <c r="D29" t="s">
        <v>14</v>
      </c>
      <c r="E29" s="1">
        <v>46003</v>
      </c>
      <c r="F29" t="s">
        <v>15</v>
      </c>
      <c r="G29" t="s">
        <v>139</v>
      </c>
      <c r="H29" t="s">
        <v>21</v>
      </c>
      <c r="I29" t="s">
        <v>170</v>
      </c>
      <c r="J29" t="s">
        <v>210</v>
      </c>
      <c r="K29" t="s">
        <v>211</v>
      </c>
      <c r="L29" s="2">
        <v>172857</v>
      </c>
      <c r="M29" t="s">
        <v>212</v>
      </c>
      <c r="N29" t="s">
        <v>146</v>
      </c>
    </row>
    <row r="30" spans="1:14" x14ac:dyDescent="0.25">
      <c r="A30" t="s">
        <v>196</v>
      </c>
      <c r="B30">
        <v>3002902</v>
      </c>
      <c r="C30" t="s">
        <v>213</v>
      </c>
      <c r="D30" t="s">
        <v>14</v>
      </c>
      <c r="E30" s="1">
        <v>46003</v>
      </c>
      <c r="F30" t="s">
        <v>15</v>
      </c>
      <c r="G30" t="s">
        <v>139</v>
      </c>
      <c r="H30" t="s">
        <v>16</v>
      </c>
      <c r="I30" t="s">
        <v>170</v>
      </c>
      <c r="J30" t="s">
        <v>214</v>
      </c>
      <c r="K30" t="s">
        <v>215</v>
      </c>
      <c r="L30" s="2">
        <v>1.07340499999999E+16</v>
      </c>
      <c r="M30" t="s">
        <v>172</v>
      </c>
      <c r="N30" t="s">
        <v>144</v>
      </c>
    </row>
    <row r="31" spans="1:14" x14ac:dyDescent="0.25">
      <c r="A31" t="s">
        <v>196</v>
      </c>
      <c r="B31">
        <v>3002707</v>
      </c>
      <c r="C31" t="s">
        <v>216</v>
      </c>
      <c r="D31" t="s">
        <v>14</v>
      </c>
      <c r="E31" s="1">
        <v>46003</v>
      </c>
      <c r="F31" t="s">
        <v>15</v>
      </c>
      <c r="G31" t="s">
        <v>139</v>
      </c>
      <c r="H31" t="s">
        <v>16</v>
      </c>
      <c r="I31" t="s">
        <v>170</v>
      </c>
      <c r="J31" t="s">
        <v>217</v>
      </c>
      <c r="K31" t="s">
        <v>218</v>
      </c>
      <c r="L31" t="s">
        <v>219</v>
      </c>
      <c r="M31" t="s">
        <v>220</v>
      </c>
      <c r="N31" t="s">
        <v>146</v>
      </c>
    </row>
    <row r="32" spans="1:14" x14ac:dyDescent="0.25">
      <c r="A32" t="s">
        <v>221</v>
      </c>
      <c r="B32">
        <v>3001438</v>
      </c>
      <c r="C32" t="s">
        <v>222</v>
      </c>
      <c r="D32" t="s">
        <v>14</v>
      </c>
      <c r="E32" s="1">
        <v>46001</v>
      </c>
      <c r="F32" t="s">
        <v>15</v>
      </c>
      <c r="G32" t="s">
        <v>21</v>
      </c>
      <c r="H32" t="s">
        <v>21</v>
      </c>
      <c r="I32" t="s">
        <v>22</v>
      </c>
      <c r="J32" t="s">
        <v>223</v>
      </c>
      <c r="K32" t="s">
        <v>224</v>
      </c>
      <c r="L32" s="2">
        <v>4.08953E+16</v>
      </c>
      <c r="N32" t="s">
        <v>146</v>
      </c>
    </row>
    <row r="33" spans="1:14" x14ac:dyDescent="0.25">
      <c r="A33" t="s">
        <v>221</v>
      </c>
      <c r="B33">
        <v>3001034</v>
      </c>
      <c r="C33" t="s">
        <v>102</v>
      </c>
      <c r="D33" t="s">
        <v>14</v>
      </c>
      <c r="E33" s="1">
        <v>46001</v>
      </c>
      <c r="F33" t="s">
        <v>15</v>
      </c>
      <c r="G33" t="s">
        <v>16</v>
      </c>
      <c r="H33" t="s">
        <v>16</v>
      </c>
      <c r="I33" t="s">
        <v>22</v>
      </c>
      <c r="J33" t="s">
        <v>225</v>
      </c>
      <c r="K33" t="s">
        <v>226</v>
      </c>
      <c r="L33" s="2">
        <v>9745349999999990</v>
      </c>
      <c r="M33" t="s">
        <v>227</v>
      </c>
      <c r="N33" t="s">
        <v>146</v>
      </c>
    </row>
    <row r="34" spans="1:14" x14ac:dyDescent="0.25">
      <c r="A34" t="s">
        <v>221</v>
      </c>
      <c r="B34">
        <v>3000917</v>
      </c>
      <c r="C34" t="s">
        <v>228</v>
      </c>
      <c r="D34" t="s">
        <v>14</v>
      </c>
      <c r="E34" s="1">
        <v>46001</v>
      </c>
      <c r="F34" t="s">
        <v>15</v>
      </c>
      <c r="G34" t="s">
        <v>21</v>
      </c>
      <c r="H34" t="s">
        <v>21</v>
      </c>
      <c r="I34" t="s">
        <v>22</v>
      </c>
      <c r="J34" t="s">
        <v>229</v>
      </c>
      <c r="K34" t="s">
        <v>230</v>
      </c>
      <c r="L34" s="2">
        <v>47881</v>
      </c>
      <c r="M34" t="s">
        <v>137</v>
      </c>
      <c r="N34" t="s">
        <v>138</v>
      </c>
    </row>
    <row r="35" spans="1:14" x14ac:dyDescent="0.25">
      <c r="A35" t="s">
        <v>221</v>
      </c>
      <c r="B35">
        <v>3000802</v>
      </c>
      <c r="C35" t="s">
        <v>92</v>
      </c>
      <c r="D35" t="s">
        <v>14</v>
      </c>
      <c r="E35" s="1">
        <v>46001</v>
      </c>
      <c r="F35" t="s">
        <v>15</v>
      </c>
      <c r="G35" t="s">
        <v>16</v>
      </c>
      <c r="H35" t="s">
        <v>16</v>
      </c>
      <c r="I35" t="s">
        <v>22</v>
      </c>
      <c r="J35" t="s">
        <v>231</v>
      </c>
      <c r="K35" t="s">
        <v>232</v>
      </c>
      <c r="L35" s="2">
        <v>1179865</v>
      </c>
      <c r="M35" t="s">
        <v>193</v>
      </c>
      <c r="N35" t="s">
        <v>144</v>
      </c>
    </row>
    <row r="36" spans="1:14" x14ac:dyDescent="0.25">
      <c r="A36" t="s">
        <v>221</v>
      </c>
      <c r="B36">
        <v>3000775</v>
      </c>
      <c r="C36" t="s">
        <v>98</v>
      </c>
      <c r="D36" t="s">
        <v>14</v>
      </c>
      <c r="E36" s="1">
        <v>46001</v>
      </c>
      <c r="F36" t="s">
        <v>15</v>
      </c>
      <c r="G36" t="s">
        <v>16</v>
      </c>
      <c r="H36" t="s">
        <v>16</v>
      </c>
      <c r="I36" t="s">
        <v>22</v>
      </c>
      <c r="J36" t="s">
        <v>233</v>
      </c>
      <c r="K36" t="s">
        <v>234</v>
      </c>
      <c r="L36" s="2">
        <v>5.137E+16</v>
      </c>
      <c r="M36" t="s">
        <v>193</v>
      </c>
      <c r="N36" t="s">
        <v>144</v>
      </c>
    </row>
    <row r="37" spans="1:14" x14ac:dyDescent="0.25">
      <c r="A37" t="s">
        <v>221</v>
      </c>
      <c r="B37">
        <v>3000716</v>
      </c>
      <c r="C37" t="s">
        <v>235</v>
      </c>
      <c r="D37" t="s">
        <v>14</v>
      </c>
      <c r="E37" s="1">
        <v>46001</v>
      </c>
      <c r="F37" t="s">
        <v>15</v>
      </c>
      <c r="G37" t="s">
        <v>16</v>
      </c>
      <c r="H37" t="s">
        <v>16</v>
      </c>
      <c r="I37" t="s">
        <v>22</v>
      </c>
      <c r="J37" t="s">
        <v>236</v>
      </c>
      <c r="K37" t="s">
        <v>237</v>
      </c>
      <c r="L37" s="2">
        <v>101791</v>
      </c>
      <c r="M37" t="s">
        <v>137</v>
      </c>
      <c r="N37" t="s">
        <v>138</v>
      </c>
    </row>
    <row r="38" spans="1:14" x14ac:dyDescent="0.25">
      <c r="A38" t="s">
        <v>221</v>
      </c>
      <c r="B38">
        <v>2999714</v>
      </c>
      <c r="C38" t="s">
        <v>238</v>
      </c>
      <c r="D38" t="s">
        <v>14</v>
      </c>
      <c r="E38" s="1">
        <v>46000</v>
      </c>
      <c r="F38" t="s">
        <v>15</v>
      </c>
      <c r="G38" t="s">
        <v>21</v>
      </c>
      <c r="H38" t="s">
        <v>21</v>
      </c>
      <c r="I38" t="s">
        <v>22</v>
      </c>
      <c r="J38" t="s">
        <v>239</v>
      </c>
      <c r="K38" t="s">
        <v>240</v>
      </c>
      <c r="L38" s="2">
        <v>878977</v>
      </c>
      <c r="N38" t="s">
        <v>146</v>
      </c>
    </row>
    <row r="39" spans="1:14" x14ac:dyDescent="0.25">
      <c r="A39" t="s">
        <v>221</v>
      </c>
      <c r="B39">
        <v>2999322</v>
      </c>
      <c r="C39" t="s">
        <v>241</v>
      </c>
      <c r="D39" t="s">
        <v>14</v>
      </c>
      <c r="E39" s="1">
        <v>46000</v>
      </c>
      <c r="F39" t="s">
        <v>15</v>
      </c>
      <c r="G39" t="s">
        <v>21</v>
      </c>
      <c r="H39" t="s">
        <v>21</v>
      </c>
      <c r="I39" t="s">
        <v>22</v>
      </c>
      <c r="J39" t="s">
        <v>242</v>
      </c>
      <c r="K39" t="s">
        <v>243</v>
      </c>
      <c r="L39" t="s">
        <v>244</v>
      </c>
      <c r="N39" t="s">
        <v>146</v>
      </c>
    </row>
    <row r="40" spans="1:14" x14ac:dyDescent="0.25">
      <c r="A40" t="s">
        <v>221</v>
      </c>
      <c r="B40">
        <v>2999548</v>
      </c>
      <c r="C40" t="s">
        <v>245</v>
      </c>
      <c r="D40" t="s">
        <v>14</v>
      </c>
      <c r="E40" s="1">
        <v>46000</v>
      </c>
      <c r="F40" t="s">
        <v>15</v>
      </c>
      <c r="G40" t="s">
        <v>21</v>
      </c>
      <c r="H40" t="s">
        <v>21</v>
      </c>
      <c r="I40" t="s">
        <v>22</v>
      </c>
      <c r="J40" t="s">
        <v>246</v>
      </c>
      <c r="K40" t="s">
        <v>87</v>
      </c>
      <c r="L40" s="2">
        <v>831705</v>
      </c>
      <c r="M40" t="s">
        <v>247</v>
      </c>
      <c r="N40" t="s">
        <v>144</v>
      </c>
    </row>
    <row r="41" spans="1:14" x14ac:dyDescent="0.25">
      <c r="A41" t="s">
        <v>221</v>
      </c>
      <c r="B41">
        <v>2999755</v>
      </c>
      <c r="C41" t="s">
        <v>248</v>
      </c>
      <c r="D41" t="s">
        <v>14</v>
      </c>
      <c r="E41" s="1">
        <v>46000</v>
      </c>
      <c r="F41" t="s">
        <v>15</v>
      </c>
      <c r="G41" t="s">
        <v>139</v>
      </c>
      <c r="H41" t="s">
        <v>16</v>
      </c>
      <c r="I41" t="s">
        <v>170</v>
      </c>
      <c r="J41" t="s">
        <v>249</v>
      </c>
      <c r="K41" t="s">
        <v>250</v>
      </c>
      <c r="L41" s="2">
        <v>1050315</v>
      </c>
      <c r="M41" t="s">
        <v>137</v>
      </c>
      <c r="N41" t="s">
        <v>138</v>
      </c>
    </row>
  </sheetData>
  <autoFilter ref="A1:N41" xr:uid="{B573853A-A7AF-4BA8-8FC7-205CE9EC31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Blad1</vt:lpstr>
      <vt:lpstr>classificatie_geschiedenis_V3</vt:lpstr>
      <vt:lpstr>V2 geschiedenis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Smits</dc:creator>
  <cp:lastModifiedBy>Gerrit Smits</cp:lastModifiedBy>
  <dcterms:created xsi:type="dcterms:W3CDTF">2026-02-14T13:31:39Z</dcterms:created>
  <dcterms:modified xsi:type="dcterms:W3CDTF">2026-02-16T14:14:44Z</dcterms:modified>
</cp:coreProperties>
</file>
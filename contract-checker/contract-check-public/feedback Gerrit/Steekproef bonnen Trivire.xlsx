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kemkensnl-my.sharepoint.com/personal/g_smits_wvc_nl/Documents/Gegevens/Data exel/WVC/2026/AI tool factureren/"/>
    </mc:Choice>
  </mc:AlternateContent>
  <xr:revisionPtr revIDLastSave="140" documentId="8_{A9E314CE-6F1B-4433-8931-488B6B343FF5}" xr6:coauthVersionLast="47" xr6:coauthVersionMax="47" xr10:uidLastSave="{3850CD78-C7A1-4CC6-A46B-51A2F099E41D}"/>
  <bookViews>
    <workbookView xWindow="-120" yWindow="-120" windowWidth="25440" windowHeight="15390" activeTab="1" xr2:uid="{1AFEDC32-F9B6-452F-B27F-6018F052B412}"/>
  </bookViews>
  <sheets>
    <sheet name="Blad2" sheetId="3" r:id="rId1"/>
    <sheet name="classificatie_geschiedenis" sheetId="1" r:id="rId2"/>
    <sheet name="Blad1" sheetId="2" r:id="rId3"/>
  </sheets>
  <definedNames>
    <definedName name="_xlnm._FilterDatabase" localSheetId="1" hidden="1">classificatie_geschiedenis!$A$1:$N$51</definedName>
  </definedNames>
  <calcPr calcId="0"/>
  <pivotCaches>
    <pivotCache cacheId="5" r:id="rId4"/>
  </pivotCaches>
</workbook>
</file>

<file path=xl/sharedStrings.xml><?xml version="1.0" encoding="utf-8"?>
<sst xmlns="http://schemas.openxmlformats.org/spreadsheetml/2006/main" count="579" uniqueCount="199">
  <si>
    <t>timestamp</t>
  </si>
  <si>
    <t>werkbon_key</t>
  </si>
  <si>
    <t>werkbon_code</t>
  </si>
  <si>
    <t>debiteur</t>
  </si>
  <si>
    <t>datum</t>
  </si>
  <si>
    <t>contract_filename</t>
  </si>
  <si>
    <t>classificatie</t>
  </si>
  <si>
    <t>basis_classificatie</t>
  </si>
  <si>
    <t>confidence</t>
  </si>
  <si>
    <t>toelichting</t>
  </si>
  <si>
    <t>contract_referentie</t>
  </si>
  <si>
    <t>totaal_kosten</t>
  </si>
  <si>
    <t>2026-02-09T09:33:10.420260</t>
  </si>
  <si>
    <t>W2548579</t>
  </si>
  <si>
    <t>005102 - Trivire</t>
  </si>
  <si>
    <t>Trivire_Tablis_rhiant.txt</t>
  </si>
  <si>
    <t>JA</t>
  </si>
  <si>
    <t>90.0</t>
  </si>
  <si>
    <t>De werkbon bevat een reparatie aan een radiatorkraan, welke volgens het contract volledig binnen het onderhoud valt. De oorzaak is een installatie probleem, wat ook onder het contract wordt gedekt. De werkzaamheden en bijbehorende kosten vallen daarom binnen het servicecontract.</t>
  </si>
  <si>
    <t>Binnen de mantel van de cv-ketel: radiatorkranen en appendages</t>
  </si>
  <si>
    <t>W2548509</t>
  </si>
  <si>
    <t>NEE</t>
  </si>
  <si>
    <t>Volgens de contractvoorwaarden vallen storingen als gevolg van huurdersgedrag buiten het contract. De werkbon vermeldt dat de oorzaak een 'Probleem door derde' is, wat duidt op huurdersgedrag. Daarom classificeer ik deze werkbon als 'buiten contract' en moeten de kosten worden gefactureerd aan de klant.</t>
  </si>
  <si>
    <t>Storingen aan apparatuur door huurdersgedrag en gevolgen hiervan worden niet vergoed onder het contract.</t>
  </si>
  <si>
    <t>W2548498</t>
  </si>
  <si>
    <t>De werkbon bevat alleen werkzaamheden die binnen het contract vallen. De werkzaamheden hebben betrekking op onderdelen binnen 2 meter van de cv-ketel, zoals het expansievat, de ontluchter en het veiligheidsventiel. Daarnaast is de storingscode 'Drukverlies' een storingsgeval dat wordt behandeld onder het contract. De werkzaamheden vallen daarom binnen het Trivire Tablis rhiant contract.</t>
  </si>
  <si>
    <t>Binnen &lt; 2 m van de ketel: Expansievat, Automaat. ontluchter, Veiligheidsventiel</t>
  </si>
  <si>
    <t>W2548457</t>
  </si>
  <si>
    <t>De werkbon heeft betrekking op het bijvullen van de CV-installatie, wat volgens de contractvoorwaarden binnen het contract valt. De materiaalkosten en arbeidskosten zijn daarnaast redelijk laag en passen binnen de normale werkzaamheden die onder het contract vallen. Er zijn geen aanwijzingen dat de werkzaamheden buiten het contract zouden vallen.</t>
  </si>
  <si>
    <t>Het werkbon valt binnen de contractvoorwaarden omdat de werkzaamheden betrekking hebben op het bijvullen van de installatie, wat binnen het contract van Trivire Tablis rhiant valt (zie sectie 'binnen de mantel van de cv-ketel: bijvullen en ontluchten').</t>
  </si>
  <si>
    <t>W2548454</t>
  </si>
  <si>
    <t>De werkzaamheden in deze werkbonketen vallen binnen het Trivire Tablis rhiant contract. De uitgevoerde werkzaamheden, zoals het verhelpen van een storing aan een gesloten CV-toestel met warm water, worden genoemd in het contract als onderdeel van de onderhoudsactiviteiten binnen 2 meter van de CV-ketel. Er zijn geen kostenposten vermeld die buiten het contract vallen.</t>
  </si>
  <si>
    <t>Rhiant (Alles binnen &lt; 2 m van de ketel binnen contract)</t>
  </si>
  <si>
    <t>W2548428</t>
  </si>
  <si>
    <t>De werkbon heeft betrekking op het verhelpen van een storing aan de cv-installatie, waarbij de volgende onderdelen binnen het contract vallen: actuator, driewegklep en cartridge-restrictor. De monteur heeft de storing binnen de 2 meter van de cv-ketel verholpen, wat ook binnen het contract valt. Daarnaast vallen storingen aan WTW-units ook binnen het contract. Daarom classificeer ik deze werkbon als 'JA', deze werkzaamheden vallen volledig binnen het contract.</t>
  </si>
  <si>
    <t>Binnen contract: 'Rhiant (Alles binnen &lt; 2 m van de ketel binnen contract)' en 'Storingen aan: WTW-units'</t>
  </si>
  <si>
    <t>147.36</t>
  </si>
  <si>
    <t>W2548268</t>
  </si>
  <si>
    <t>De werkzaamheden in deze werkbon hebben betrekking op het verhelpen van een lekkage onder de cv-ketel, wat volgens het contractoverzicht valt onder 'binnen de mantel van de cv-ketel: &lt; 2m' en daarmee binnen het contract valt. De gebruikte materialen, zoals de PVC-buis, sifon en fittingen, passen ook binnen deze categorisering. Daarnaast wordt er geen vermelding gemaakt van uitgesloten werkzaamheden in het contract. Daarom classificeer ik deze werkbon als vallend binnen het servicecontract.</t>
  </si>
  <si>
    <t>Binnen de mantel van de cv-ketel: &lt; 2m</t>
  </si>
  <si>
    <t>W2548204</t>
  </si>
  <si>
    <t>De werkzaamheden op deze werkbon vallen binnen het servicecontract. De storingen aan de kamerthermostaat en het doorbranden van de radiator zijn items die duidelijk binnen het contract vallen volgens de contractvoorwaarden. Daarnaast vallen de uitgevoerde werkzaamheden, zoals het verhelpen van de storing, ook binnen de contractvoorwaarden. De kosten voor reistijd en arbeid zijn daarom niet apart aan de klant door te berekenen.</t>
  </si>
  <si>
    <t>W2548207</t>
  </si>
  <si>
    <t>Volgens de contractvoorwaarden vallen storingen aan vloerverwarmingssystemen buiten het servicecontract. De werkbon bevat een storing aan de vloerverwarming, waardoor deze niet onder het contract valt. De monteur heeft de storing verholpen en de kosten kunnen aan de klant worden gefactureerd.</t>
  </si>
  <si>
    <t>Storingen aan vloerverwarming systemen worden in het contract als buiten contract benoemd.</t>
  </si>
  <si>
    <t>W2548208</t>
  </si>
  <si>
    <t>Volgens het contractoverzicht vallen werkzaamheden binnen 2 meter van de ketel, zoals het repareren van een radiatorkraan, volledig onder het servicecontract. De werkbon beschrijft een storing aan een radiatorkraan, waarbij de monteur de storing heeft verholpen. Daarom vallen deze werkzaamheden binnen het contract.</t>
  </si>
  <si>
    <t>Radiatorkraan / knop defect wordt binnen het contract uitgevoerd voor zover deze zich binnen 2 meter van de ketel bevinden.</t>
  </si>
  <si>
    <t>2026-02-09T10:05:09.211639</t>
  </si>
  <si>
    <t>W2548193</t>
  </si>
  <si>
    <t>De werkbon bevat werkzaamheden voor het vervangen van een driewegklep en een pomp van de cv-ketel, die volgens het contract buiten de 2 meter mantel van de ketel vallen. Daarnaast is er sprake van reistijd en arbeid voor het verhelpen van de cv-storing, wat ook niet binnen het contract valt. Daarom classificeer ik deze werkbon als vallend buiten het contract.</t>
  </si>
  <si>
    <t>Werkzaamheden buiten de 2 meter mantel van de ketel, vervanging van componenten zoals driewegklep en pomp</t>
  </si>
  <si>
    <t>W2548170</t>
  </si>
  <si>
    <t>TWIJFEL</t>
  </si>
  <si>
    <t>80.0</t>
  </si>
  <si>
    <t>De werkzaamheden in deze werkbon vallen binnen het servicecontract. De gemelde storing 'Geen CV' en de uitgevoerde werkzaamheden 'CV storingen verhelpen' en 'Reistijd werkbon' zijn onderdeel van de contractueel gedekte werkzaamheden binnen de mantel van de cv-ketel. De kosten voor arbeid zijn daarom niet extra te factureren aan de klant.</t>
  </si>
  <si>
    <t>Binnen de mantel van de cv-ketel: X</t>
  </si>
  <si>
    <t>W2548162</t>
  </si>
  <si>
    <t>De werkbon bevat werkzaamheden voor het verhelpen van een lekkage aan de installatie, waarbij materialen zijn gebruikt voor reparatie van leidingen binnen 2 meter van de cv-ketel. Deze werkzaamheden vallen onder het Trivire Tablis rhiant contract en hoeven niet extra gefactureerd te worden.</t>
  </si>
  <si>
    <t>W2548129</t>
  </si>
  <si>
    <t>De werkzaamheden in deze werkbonketen hebben betrekking op het verhelpen van een storing aan het CV-toestel, waarbij de oorzaak binnen de mantel van de CV-ketel ligt. Volgens de contractvoorwaarden vallen dergelijke werkzaamheden binnen het contract, aangezien deze expliciet worden vermeld als onderdeel van de gedekte dienstverlening.</t>
  </si>
  <si>
    <t>W2548123</t>
  </si>
  <si>
    <t>De werkbon betreft een 'GEEN CV en WW' storing, wat volgens de contractvoorwaarden buiten het contract valt. De werkbon bevat kosten voor materiaal, reistijd en arbeid voor het verhelpen van de storing. Aangezien dit geen regulier onderhoud of reparatie binnen 2 meter van de cv-ketel betreft, classificeer ik de werkbon als buiten het contract vallend.</t>
  </si>
  <si>
    <t>Alle items onder 'Storingen aan:' in het contract vallen buiten het contract.</t>
  </si>
  <si>
    <t>W2548092</t>
  </si>
  <si>
    <t>Volgens de contractvoorwaarden vallen de werkzaamheden om een GEEN CV en WW-installatie bij te vullen binnen het contract. De storingsmeldingen en het bijvullen van de installatie passen binnen de omschreven dekking van het contract.</t>
  </si>
  <si>
    <t>Binnen de mantel van de cv-ketel: X, Storingen aan: gevelkachelkachels, gasgestookte en elektra boilers, luchtverhitters: X</t>
  </si>
  <si>
    <t>W2548061</t>
  </si>
  <si>
    <t>De werkzaamheden vallen binnen het contract, omdat de lekkage aan de installatie binnen 2 meter van de ketel is. Volgens het contract vallen werkzaamheden binnen 2 meter van de ketel binnen het contract. Daarnaast vallen de gebruikte materialen en arbeidstaken ook onder de contractvoorwaarden.</t>
  </si>
  <si>
    <t>Contractvoorwaarden diverse WBV.xlsx (sheet: Trivire Tablis rhiant)</t>
  </si>
  <si>
    <t>W2547634</t>
  </si>
  <si>
    <t>Volgens de contractvoorwaarden vallen de werkzaamheden binnen het servicecontract, aangezien het gaat om onderhoud aan de cv-ketel en controle van de zonneboiler, die binnen de mantel van de cv-ketel vallen. De storingscode 'Diverse werkzaamheden' en oorzaakcode 'Algemene werkzaamheden' passen ook binnen het contract. De monteur heeft de juiste uren gefactureerd voor reistijd en cv-storingen verhelpen.</t>
  </si>
  <si>
    <t>Binnen de mantel van de cv-ketel: X, Tappot: X, Servicebezoek fabrikant - binnen ketel = binnen contract: X</t>
  </si>
  <si>
    <t>W2547475</t>
  </si>
  <si>
    <t>De werkbon bevat werkzaamheden voor het verhelpen van een defecte radiatorkraan, wat volgens de contractvoorwaarden binnen het contract valt. De kosten voor arbeid en materiaal (haaks) zijn daarom niet aan de klant in rekening te brengen.</t>
  </si>
  <si>
    <t>Het contract vermeldt dat het vervangen van radiatorkranen en appendages binnen het contract valt.</t>
  </si>
  <si>
    <t>W2547479</t>
  </si>
  <si>
    <t>De werkbon heeft betrekking op een storing aan de cv-installatie, wat volgens het contract binnen het onderhoudscontract valt. De storingscode 'GEEN CV en WW' en de uitgevoerde werkzaamheden 'CV storingen verhelpen' passen binnen de contractuele voorwaarden.</t>
  </si>
  <si>
    <t>Conform artikel 'Storingen aan:gevelkachelkachels, gasgestookte en elektra boilers, luchtverhitters' in het contract</t>
  </si>
  <si>
    <t>2026-02-09T10:07:12.750839</t>
  </si>
  <si>
    <t>W2547458</t>
  </si>
  <si>
    <t>De werkzaamheden vallen deels buiten het contract. Hoewel de werkzaamheden binnen 2m van de cv-ketel plaatsvinden (wat binnen het contract valt), zijn er ook kosten voor 'Installatie storingen verhelpen' en 'Reistijd werkbon' die niet specifiek in het contract zijn opgenomen. Daarnaast is er een extra materiaalkosten voor glycerol, wat ook niet onder de contractvoorwaarden valt. Daarom classificeer ik deze werkbon als buiten het contract vallend.</t>
  </si>
  <si>
    <t>W2547450</t>
  </si>
  <si>
    <t>De werkzaamheden op deze werkbon vallen buiten het servicecontract. Het gaat om reparatie van een storing aan de cv-ketel, waarbij diverse materialen en arbeidsuren zijn gefactureerd. Deze typen werkzaamheden worden in het contract expliciet benoemd als 'buiten contract' en dienen apart te worden gefactureerd aan de klant.</t>
  </si>
  <si>
    <t>Diverse posten in het contract vallen buiten het contract, zoals: vervangen expansievat, ontluchter, autom. ontluchter, en arbeid voor het verhelpen van CV storingen.</t>
  </si>
  <si>
    <t>W2547444</t>
  </si>
  <si>
    <t>De werkbon valt buiten het servicecontract, omdat de werkzaamheden betrekking hebben op een storing aan de cv-ketel waarbij onderdelen zijn vervangen die niet binnen 2 meter van de ketel vallen. Volgens de contractvoorwaarden vallen deze werkzaamheden buiten het contract en moeten ze apart gefactureerd worden aan de klant.</t>
  </si>
  <si>
    <t>Niet onder Rhiant (Alles binnen &lt; 2 m van de ketel binnen contract)</t>
  </si>
  <si>
    <t>W2547441</t>
  </si>
  <si>
    <t>De werkbon betreft een storing aan de cv-ketel, waarbij een expansievat is vervangen. Volgens de contractvoorwaarden vallen storingen aan cv-installaties buiten het contract en moeten deze apart gefactureerd worden aan de klant.</t>
  </si>
  <si>
    <t>W2547440</t>
  </si>
  <si>
    <t>De werkzaamheden beschreven in deze werkbon, waaronder het vervangen van de ontstekingstrafo en het verhelpen van CV-storingen, vallen buiten het servicecontract. Volgens de contractvoorwaarden zijn deze onderdelen en werkzaamheden niet gedekt door het contract.</t>
  </si>
  <si>
    <t>Materiaal buiten contract: 'Ontstekingstrafo+ ontstek.ion/electrode S100012'. Arbeid voor 'CV storingen verhelpen' valt ook buiten contract.</t>
  </si>
  <si>
    <t>W2547401</t>
  </si>
  <si>
    <t>De werkbon valt binnen het servicecontract, omdat de werkzaamheden betrekking hebben op het verhelpen van een storing aan de cv-installatie binnen de mantel van de ketel (&lt; 2m). De uitgevoerde taken zoals reistijd, diagnose en reparatie vallen onder de contractueel gedekte werkzaamheden.</t>
  </si>
  <si>
    <t>Binnen de mantel van de cv-ketel: X, Rhiant (Alles binnen &lt; 2 m van de ketel binnen contract)</t>
  </si>
  <si>
    <t>W2547323</t>
  </si>
  <si>
    <t>Uit de werkbon informatie blijkt dat de lekkage zich bevindt aan de warmwater ringleiding in de koof, wat zich binnen 2 meter van de ketel bevindt. Volgens de contractvoorwaarden vallen dergelijke werkzaamheden binnen het contract. De storingscodes en oorzaken passen ook binnen de contractvoorwaarden. Daarom classificeer ik deze werkbon als JA, met een hoge mate van zekerheid (0.9).</t>
  </si>
  <si>
    <t>W2547349</t>
  </si>
  <si>
    <t>De werkzaamheden in deze werkbon hebben betrekking op het verhelpen van een CV-storing, wat binnen het contract valt volgens de contractvoorwaarden. De monteur heeft de nodige werkzaamheden uitgevoerd binnen de 2 meter rondom de CV-ketel, zoals bijvullen, ontluchten en vervangen van onderdelen. Dit valt allemaal binnen het contract.</t>
  </si>
  <si>
    <t>Binnen &lt; 2m van de ketel: bijvullen en ontluchten, rookgasafvoer ringen vervangen, cv-leiding &lt; 2m, radiatorkranen en appendages, thermostaatkraan, vulkraan, luchtafscheider, ontluchter, vervangen batterijen kamerthermostaat, leveren vulset, Tappot</t>
  </si>
  <si>
    <t>W2547364</t>
  </si>
  <si>
    <t>De werkbon beschrijft het vervangen van een defecte radiatorkraan/knop, wat volgens de contractvoorwaarden binnen het contract valt. De werkzaamheden vinden plaats binnen 2 meter van de cv-ketel, wat ook binnen het contract is. Daarom classificeer ik deze werkbon als 'JA', met een hoge mate van zekerheid.</t>
  </si>
  <si>
    <t>32.76</t>
  </si>
  <si>
    <t>W2547409</t>
  </si>
  <si>
    <t>De werkzaamheden beschreven in de werkbon vallen binnen het servicecontract voor individuele installaties van Trivire. De werkbon bevat het verhelpen van een storing aan de warmtepomp, wat binnen de contractcategorie 'storingen aan warmtepompen' valt. De arbeidskosten voor reistijd en het verhelpen van de storing zijn contractueel gedekt.</t>
  </si>
  <si>
    <t>2026-02-09T10:10:06.177226</t>
  </si>
  <si>
    <t>W2547196</t>
  </si>
  <si>
    <t>De werkbon bevat items zoals radiatorvervanging, reparatie aan expansievat en materialen voor leidingen verder dan 2m van de ketel, welke volgens het contract buiten het servicecontract vallen en moeten worden gefactureerd aan de klant.</t>
  </si>
  <si>
    <t>Radiatorvervanging, leidingen &gt; 2m van ketel, reparatie expansievat</t>
  </si>
  <si>
    <t>W2547140</t>
  </si>
  <si>
    <t>De werkzaamheden bestaan uit het repareren van een lekkage onder de cv-ketel, waarbij materiaal is gebruikt voor het vervangen van een buisje en een bocht. Deze werkzaamheden vallen binnen het servicecontract, omdat ze betrekking hebben op onderdelen binnen 2 meter van de cv-ketel. De storingscode 006.1 en oorzaakcode 200 bevestigen dat het om een installatieprobleem gaat, wat ook onder het contract valt.</t>
  </si>
  <si>
    <t>Conform onderdelen 'binnen de mantel van de cv-ketel' en 'rookgasafvoer &lt; 2m' binnen het contract</t>
  </si>
  <si>
    <t>W2547131</t>
  </si>
  <si>
    <t>De werkbon valt binnen het servicecontract, aangezien de werkzaamheden betrekking hebben op een defecte radiatorkraan binnen 2 meter van de cv-ketel. Dit is volgens de contractvoorwaarden onderdeel van het Rhiant-pakket en valt dus binnen de dekking van het servicecontract.</t>
  </si>
  <si>
    <t>Rhiant (Alles binnen &lt; 2 m van de ketel binnen contract) - radiatorkranen en appendages</t>
  </si>
  <si>
    <t>W2547120</t>
  </si>
  <si>
    <t>De werkbon beschrijft het vervangen van een defecte radiatorkraan, wat volgens de contractvoorwaarden binnen het contract valt. De werkzaamheden, materialen en kostenposten passen binnen de afspraken in het servicecontract. Ik heb daarom een hoge mate van zekerheid dat deze werkbon volledig binnen het contract valt.</t>
  </si>
  <si>
    <t>Radiatorkranen en appendages vallen binnen het contract.</t>
  </si>
  <si>
    <t>W2547114</t>
  </si>
  <si>
    <t>De werkbon beschrijft het verhelpen van een defecte radiatorkraan, wat volgens de contractvoorwaarden onder het onderhoud valt en binnen het servicecontract wordt uitgevoerd. De werkzaamheden en kosten passen binnen de contractafspraken.</t>
  </si>
  <si>
    <t>Radiatorkranen en appendages vallen binnen het contract</t>
  </si>
  <si>
    <t>W2547108</t>
  </si>
  <si>
    <t>De werkzaamheden voor het verhelpen van een defecte radiatorkraan vallen binnen de contractuele voorwaarden, aangezien de storingen binnen 2 meter van de cv-ketel plaatsvinden. De vervangen onderdelen, zoals de radiatorkraan, zijn ook opgenomen in het contract. Daarnaast zijn de uitgevoerde werkzaamheden, zoals reistijd en storingen verhelpen, eveneens contractueel gedekt.</t>
  </si>
  <si>
    <t>W2547010</t>
  </si>
  <si>
    <t>De werkzaamheden in deze werkbonketen omvatten het vervangen van diverse onderdelen zoals het hydroblock, driewegklep, manometer en automatisch vulsysteem. Deze onderdelen vallen buiten de contractuele dekking van Rhiant (binnen 2 meter van de ketel). Daarnaast worden er ook werkzaamheden uitgevoerd aan het verwarmingssysteem buiten de directe omgeving van de ketel, zoals aanvoerleidingen radiatoren, verdeler en vloerverwarming, die eveneens buiten het contract vallen. Daarom classificeer ik deze werkbon als 'NEE', met een hoge mate van zekerheid (confidence 0.9).</t>
  </si>
  <si>
    <t>Volgens het contractoverzicht vallen de volgende werkzaamheden buiten het contract: aanvoerleidingen radiator vervangen, spoelen leidingen radiatoren, verdeler, vloerverwarming regelingen, vervangen van voorraadboilers, storingen aan gevelkachels, gasgestookte en elektra boilers, luchtverhitters, ontkalken van boilers, vervangen van zonnecollectoren, reparatie verdeler, slang vervangen, waterslagdemper, close-in boiler, buitenvoeler.</t>
  </si>
  <si>
    <t>W2546954</t>
  </si>
  <si>
    <t>De werkbon beschrijft een storing aan het cv-toestel (remeha avanta 28c CW4), waarbij een ontstekingstrafo en -elektrode zijn vervangen. Deze werkzaamheden vallen buiten het contractbereik, aangezien het om een toestelfout gaat die verder dan 2m van de ketel ligt. Daarom moet deze werkbon aan de klant worden gefactureerd.</t>
  </si>
  <si>
    <t>Binnen contract zijn alleen werkzaamheden &lt; 2m van de ketel opgenomen. Storingen aan het toestel vallen buiten contract.</t>
  </si>
  <si>
    <t>61.46</t>
  </si>
  <si>
    <t>W2546990</t>
  </si>
  <si>
    <t>De werkbon heeft betrekking op een storing aan een tapwater boiler, wat volgens de contractvoorwaarden niet binnen het contract valt. De storingscode 002 - Geen WW en de oorzaakcode 200 - Installatie probleem duiden erop dat de storing niet onder garantie/onderhoud valt. Daarom classificeer ik deze werkbon als 'buiten contract'.</t>
  </si>
  <si>
    <t>Storingen aan: gevelkachels, gasgestookte en elektra boilers, luchtverhitters</t>
  </si>
  <si>
    <t>W2547016</t>
  </si>
  <si>
    <t>De werkzaamheden betreffen het repareren van een defecte radiatorkraan, welke volgens het contractoverzicht vallen binnen het onderhoudscontract. De werkzaamheden zijn uitgevoerd binnen 2 meter van de cv-ketel, waardoor ze binnen de contractuele voorwaarden vallen.</t>
  </si>
  <si>
    <t>Binnen contract - Radiatorkranen en appendages &lt; 2m van de cv-ketel</t>
  </si>
  <si>
    <t>2026-02-09T10:12:09.842015</t>
  </si>
  <si>
    <t>W2546889</t>
  </si>
  <si>
    <t>De werkbon beschrijft het verhelpen van een CV-storing, waarbij de radiator is vervangen. Deze werkzaamheden vallen buiten het servicecontract, aangezien deze verder dan 2 meter van de ketel plaatsvinden. Daarom is de classificatie 'NEE', de werkzaamheden moeten aan de klant worden gefactureerd.</t>
  </si>
  <si>
    <t>Binnen contract vallen alleen werkzaamheden binnen &lt; 2m van de ketel. De beschrijving noemt 'geen CV na vv radiator', wat buiten de contractuele reikwijdte valt.</t>
  </si>
  <si>
    <t>W2546888</t>
  </si>
  <si>
    <t>De werkbon beschrijft een lekkage onder de cv-ketel, wat buiten de contractuele dekking van 'binnen de mantel van de cv-ketel' valt. De aard van de werkzaamheden (storingsherstel) en de gebruikte kostencategorieÃ«n ('CV storingen verhelpen') duiden erop dat deze werkzaamheden buiten het contract vallen en aan de klant gefactureerd moeten worden.</t>
  </si>
  <si>
    <t>Werkzaamheden buiten de mantel van de cv-ketel (&lt; 2m) zijn niet inbegrepen in het contract.</t>
  </si>
  <si>
    <t>W2546869</t>
  </si>
  <si>
    <t>De werkbon betreft een reparatie aan een cv-ketel waarbij de oorzaak een 'installatie probleem' was. Volgens de contractvoorwaarden vallen deze werkzaamheden binnen het contract, omdat ze plaatsvinden binnen de mantel van de cv-ketel (minder dan 2 meter van de ketel). De gebruikte materialen en arbeid zijn ook in lijn met de contractuele bepalingen.</t>
  </si>
  <si>
    <t>Volgens het contractuele overzicht vallen de werkzaamheden binnen de reikwijdte van het contract. De werkzaamheden betreffen een 'lekkage in de ketel', wat onder 'onderhoud/reparatie binnen de mantel van de cv-ketel' valt.</t>
  </si>
  <si>
    <t>W2546419</t>
  </si>
  <si>
    <t>Uit de werkbon blijkt dat er sprake is van een storing aan een gesloten CV-toestel (storingscode 002 - Geen WW). Het contract geeft aan dat dergelijke storingen buiten het contract vallen en apart gefactureerd mogen worden aan de klant. Daarom is de conclusie dat deze werkzaamheden niet onder het contract vallen.</t>
  </si>
  <si>
    <t>Het contract geeft aan dat storingen aan gesloten toestellen zoals in dit geval buiten het contract vallen.</t>
  </si>
  <si>
    <t>W2546415</t>
  </si>
  <si>
    <t>De werkbon beschrijft een storing aan de Remeha Avanta 28c CW4 ketel, waarbij een ontstekingstrafo, ontstekingselektrode en arbeid voor het verhelpen van de storing in rekening worden gebracht. Volgens de contractvoorwaarden vallen 'storingen aan cv-toestellen' buiten het contract, dus deze werkzaamheden kunnen niet worden meegenomen onder het servicecontract. De classificatie is 'NEE' met een hoge mate van zekerheid (0.9).</t>
  </si>
  <si>
    <t>De werkzaamheden vallen buiten het contract omdat de werkbon een storing aan het cv-toestel betreft, terwijl het contract specificeert dat storingen aan het cv-toestel buiten het contract vallen.</t>
  </si>
  <si>
    <t>W2546414</t>
  </si>
  <si>
    <t>De werkbon heeft betrekking op werkzaamheden binnen de mantel van de cv-ketel, namelijk het verhelpen van een defecte radiatorkraan/knop. Volgens de contractvoorwaarden vallen deze werkzaamheden binnen het contract en hoeven niet apart gefactureerd te worden.</t>
  </si>
  <si>
    <t>Binnen de mantel van de cv-ketel, radiatorkranen en appendages, thermostaatkraan</t>
  </si>
  <si>
    <t>W2546402</t>
  </si>
  <si>
    <t>De werkbon heeft betrekking op het verhelpen van een storing aan de cv-installatie, welke volgens het contract binnen de 'Rhiant' (binnen 2 meter van de cv-ketel) valt. De storingscode '003 - GEEN CV en WW' en oorzaakcode '200 - Installatie probleem' passen binnen de contractvoorwaarden. De kosten voor de arbeidsuren zijn ook in lijn met de contractuele bepalingen.</t>
  </si>
  <si>
    <t>Binnen contract, zie 'GEEN CV en WW' in het contract</t>
  </si>
  <si>
    <t>W2546391</t>
  </si>
  <si>
    <t>De werkbon bevat een storing 'lekkage onder de ketel', waarbij de monteur 1.22 uur reistijd en 0.09 uur arbeid heeft gefactureerd. Volgens de contractvoorwaarden vallen werkzaamheden buiten de 2 meter van de ketel, zoals lekkage onder de ketel, buiten het contract. Daarom wordt deze werkbon niet vergoed onder het contract en moet deze worden gefactureerd aan de klant.</t>
  </si>
  <si>
    <t>Lekkage onder de ketel valt buiten het contract. Volgens de contractvoorwaarden worden storingen en reparaties aan het toestel buiten de 2 meter van de ketel in rekening gebracht.</t>
  </si>
  <si>
    <t>W2546390</t>
  </si>
  <si>
    <t>De werkzaamheden vallen binnen het servicecontract omdat het gaat om het verhelpen van een storing aan een radiator, wat onder het onderhoud binnen 2 meter van de cv-ketel valt. De kosten voor reistijd en arbeid om de storing te verhelpen zijn ook in het contract opgenomen.</t>
  </si>
  <si>
    <t>Binnen de contractvoorwaarden voor 'radiator vervangen arbeid' en 'reistijd werkbon'</t>
  </si>
  <si>
    <t>W2546388</t>
  </si>
  <si>
    <t>De werkbon betreft een storing aan de Nefit Smartline cv-ketel, waarbij de ventilator vervangen moest worden. Dit valt onder 'storingen aan cv-installaties' in het contract, wat als 'buiten contract' is gedefinieerd. Daarnaast worden er materiaalkosten en arbeidskosten in rekening gebracht, wat ook overeenkomt met de contractvoorwaarden voor werkzaamheden buiten het contract.</t>
  </si>
  <si>
    <t>Volgens het contractoverzicht vallen storingen aan de cv-ketel, inclusief reparaties, vervangen van onderdelen en arbeid, buiten het contract.</t>
  </si>
  <si>
    <t>opmerkingen WVc</t>
  </si>
  <si>
    <t>eind</t>
  </si>
  <si>
    <t>Ventilator is ketel onderdeel binnen de mantel</t>
  </si>
  <si>
    <t>fout</t>
  </si>
  <si>
    <t>Valt niet in het individueel contract</t>
  </si>
  <si>
    <t>Niet thuis is twijfelgeval soms wel soms niet</t>
  </si>
  <si>
    <t>goed</t>
  </si>
  <si>
    <t xml:space="preserve">Gevuld ontlucht </t>
  </si>
  <si>
    <t>Pakking is van de ketel</t>
  </si>
  <si>
    <t>Ketel onderdelen in het contract</t>
  </si>
  <si>
    <t>Retourleiding cv ketel</t>
  </si>
  <si>
    <t>syfon binnen 2 mtr ketel</t>
  </si>
  <si>
    <t>Radiator afgekoppeld waarom twijfel</t>
  </si>
  <si>
    <t>storing cv ketel</t>
  </si>
  <si>
    <t>Gevuld ontlucht in het contract</t>
  </si>
  <si>
    <t>garantie geval</t>
  </si>
  <si>
    <t>Ook nog belangrijk garantie termijn !</t>
  </si>
  <si>
    <t>Gevuld ontlucht + expansievat in het contract</t>
  </si>
  <si>
    <t>ontluchting/overstortventiel in het contract</t>
  </si>
  <si>
    <t>storing zonnecollectoren niet in het contract</t>
  </si>
  <si>
    <t>gevuld ontlucht binnen contract</t>
  </si>
  <si>
    <t>verstopping niet in contract</t>
  </si>
  <si>
    <t>tapwaterboiler niet in het contract</t>
  </si>
  <si>
    <t>leidingen verv. In keuken (kk)</t>
  </si>
  <si>
    <t>Vloerverwarming niet in het contract</t>
  </si>
  <si>
    <t>Storing voor elektricien niet in contract</t>
  </si>
  <si>
    <t>Rijlabels</t>
  </si>
  <si>
    <t>(leeg)</t>
  </si>
  <si>
    <t>Eindtotaal</t>
  </si>
  <si>
    <t>Aantal van classificatie</t>
  </si>
  <si>
    <t>(Meerdere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</si>
</sst>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3" fontId="0" fillId="0" borderId="0" xfId="0" applyNumberFormat="1"/>
    <xf numFmtId="0" fontId="0" fillId="33" borderId="0" xfId="0" applyFill="1"/>
    <xf numFmtId="0" fontId="0" fillId="34" borderId="0" xfId="0" applyFill="1"/>
    <xf numFmtId="0" fontId="0" fillId="0" borderId="0" xfId="0"/>
    <xf numFmtId="49" fontId="0" fillId="0" borderId="0" xfId="0" applyNumberFormat="1"/>
    <xf numFmtId="0" fontId="0" fillId="35"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errit Smits" refreshedDate="46062.842487615744" createdVersion="8" refreshedVersion="8" minRefreshableVersion="3" recordCount="51" xr:uid="{C3A8D3DD-F8B9-4BB0-B274-22E5F2FD35A7}">
  <cacheSource type="worksheet">
    <worksheetSource ref="A1:N1048576" sheet="classificatie_geschiedenis"/>
  </cacheSource>
  <cacheFields count="14">
    <cacheField name="timestamp" numFmtId="0">
      <sharedItems containsBlank="1"/>
    </cacheField>
    <cacheField name="werkbon_key" numFmtId="0">
      <sharedItems containsString="0" containsBlank="1" containsNumber="1" containsInteger="1" minValue="2997349" maxValue="3011594"/>
    </cacheField>
    <cacheField name="werkbon_code" numFmtId="0">
      <sharedItems containsBlank="1"/>
    </cacheField>
    <cacheField name="debiteur" numFmtId="0">
      <sharedItems containsBlank="1"/>
    </cacheField>
    <cacheField name="datum" numFmtId="0">
      <sharedItems containsNonDate="0" containsDate="1" containsString="0" containsBlank="1" minDate="2025-12-06T00:00:00" maxDate="2025-12-20T00:00:00"/>
    </cacheField>
    <cacheField name="contract_filename" numFmtId="0">
      <sharedItems containsBlank="1"/>
    </cacheField>
    <cacheField name="classificatie" numFmtId="0">
      <sharedItems containsBlank="1" count="4">
        <s v="NEE"/>
        <s v="TWIJFEL"/>
        <s v="JA"/>
        <m/>
      </sharedItems>
    </cacheField>
    <cacheField name="basis_classificatie" numFmtId="0">
      <sharedItems containsBlank="1"/>
    </cacheField>
    <cacheField name="confidence" numFmtId="0">
      <sharedItems containsBlank="1"/>
    </cacheField>
    <cacheField name="toelichting" numFmtId="0">
      <sharedItems containsBlank="1" longText="1"/>
    </cacheField>
    <cacheField name="contract_referentie" numFmtId="0">
      <sharedItems containsBlank="1" longText="1"/>
    </cacheField>
    <cacheField name="totaal_kosten" numFmtId="0">
      <sharedItems containsBlank="1" containsMixedTypes="1" containsNumber="1" containsInteger="1" minValue="24244" maxValue="5.9647E+16"/>
    </cacheField>
    <cacheField name="opmerkingen WVc" numFmtId="0">
      <sharedItems containsBlank="1" count="22">
        <s v="Ventilator is ketel onderdeel binnen de mantel"/>
        <s v="Valt niet in het individueel contract"/>
        <s v="Niet thuis is twijfelgeval soms wel soms niet"/>
        <s v="Gevuld ontlucht "/>
        <s v="verstopping niet in contract"/>
        <s v="Pakking is van de ketel"/>
        <s v="Ketel onderdelen in het contract"/>
        <s v="Retourleiding cv ketel"/>
        <s v="syfon binnen 2 mtr ketel"/>
        <s v="tapwaterboiler niet in het contract"/>
        <m/>
        <s v="Radiator afgekoppeld waarom twijfel"/>
        <s v="storing cv ketel"/>
        <s v="Gevuld ontlucht in het contract"/>
        <s v="garantie geval"/>
        <s v="Gevuld ontlucht + expansievat in het contract"/>
        <s v="ontluchting/overstortventiel in het contract"/>
        <s v="storing zonnecollectoren niet in het contract"/>
        <s v="gevuld ontlucht binnen contract"/>
        <s v="leidingen verv. In keuken (kk)"/>
        <s v="Vloerverwarming niet in het contract"/>
        <s v="Storing voor elektricien niet in contract"/>
      </sharedItems>
    </cacheField>
    <cacheField name="eind" numFmtId="0">
      <sharedItems containsBlank="1" count="3">
        <s v="fout"/>
        <s v="go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s v="2026-02-09T10:12:09.842015"/>
    <n v="2997349"/>
    <s v="W2546388"/>
    <s v="005102 - Trivire"/>
    <d v="2025-12-06T00:00:00"/>
    <s v="Trivire_Tablis_rhiant.txt"/>
    <x v="0"/>
    <s v="NEE"/>
    <s v="90.0"/>
    <s v="De werkbon betreft een storing aan de Nefit Smartline cv-ketel, waarbij de ventilator vervangen moest worden. Dit valt onder 'storingen aan cv-installaties' in het contract, wat als 'buiten contract' is gedefinieerd. Daarnaast worden er materiaalkosten en arbeidskosten in rekening gebracht, wat ook overeenkomt met de contractvoorwaarden voor werkzaamheden buiten het contract."/>
    <s v="Volgens het contractoverzicht vallen storingen aan de cv-ketel, inclusief reparaties, vervangen van onderdelen en arbeid, buiten het contract."/>
    <n v="4804295"/>
    <x v="0"/>
    <x v="0"/>
  </r>
  <r>
    <s v="2026-02-09T10:12:09.842015"/>
    <n v="2997360"/>
    <s v="W2546390"/>
    <s v="005102 - Trivire"/>
    <d v="2025-12-06T00:00:00"/>
    <s v="Trivire_Tablis_rhiant.txt"/>
    <x v="1"/>
    <s v="JA"/>
    <s v="80.0"/>
    <s v="De werkzaamheden vallen binnen het servicecontract omdat het gaat om het verhelpen van een storing aan een radiator, wat onder het onderhoud binnen 2 meter van de cv-ketel valt. De kosten voor reistijd en arbeid om de storing te verhelpen zijn ook in het contract opgenomen."/>
    <s v="Binnen de contractvoorwaarden voor 'radiator vervangen arbeid' en 'reistijd werkbon'"/>
    <n v="620475"/>
    <x v="1"/>
    <x v="0"/>
  </r>
  <r>
    <s v="2026-02-09T10:12:09.842015"/>
    <n v="2997362"/>
    <s v="W2546391"/>
    <s v="005102 - Trivire"/>
    <d v="2025-12-06T00:00:00"/>
    <s v="Trivire_Tablis_rhiant.txt"/>
    <x v="1"/>
    <s v="NEE"/>
    <s v="80.0"/>
    <s v="De werkbon bevat een storing 'lekkage onder de ketel', waarbij de monteur 1.22 uur reistijd en 0.09 uur arbeid heeft gefactureerd. Volgens de contractvoorwaarden vallen werkzaamheden buiten de 2 meter van de ketel, zoals lekkage onder de ketel, buiten het contract. Daarom wordt deze werkbon niet vergoed onder het contract en moet deze worden gefactureerd aan de klant."/>
    <s v="Lekkage onder de ketel valt buiten het contract. Volgens de contractvoorwaarden worden storingen en reparaties aan het toestel buiten de 2 meter van de ketel in rekening gebracht."/>
    <n v="95461"/>
    <x v="2"/>
    <x v="1"/>
  </r>
  <r>
    <s v="2026-02-09T10:12:09.842015"/>
    <n v="2997389"/>
    <s v="W2546402"/>
    <s v="005102 - Trivire"/>
    <d v="2025-12-06T00:00:00"/>
    <s v="Trivire_Tablis_rhiant.txt"/>
    <x v="2"/>
    <s v="JA"/>
    <s v="90.0"/>
    <s v="De werkbon heeft betrekking op het verhelpen van een storing aan de cv-installatie, welke volgens het contract binnen de 'Rhiant' (binnen 2 meter van de cv-ketel) valt. De storingscode '003 - GEEN CV en WW' en oorzaakcode '200 - Installatie probleem' passen binnen de contractvoorwaarden. De kosten voor de arbeidsuren zijn ook in lijn met de contractuele bepalingen."/>
    <s v="Binnen contract, zie 'GEEN CV en WW' in het contract"/>
    <n v="165645"/>
    <x v="3"/>
    <x v="1"/>
  </r>
  <r>
    <s v="2026-02-09T10:12:09.842015"/>
    <n v="2997406"/>
    <s v="W2546414"/>
    <s v="005102 - Trivire"/>
    <d v="2025-12-07T00:00:00"/>
    <s v="Trivire_Tablis_rhiant.txt"/>
    <x v="2"/>
    <s v="JA"/>
    <s v="90.0"/>
    <s v="De werkbon heeft betrekking op werkzaamheden binnen de mantel van de cv-ketel, namelijk het verhelpen van een defecte radiatorkraan/knop. Volgens de contractvoorwaarden vallen deze werkzaamheden binnen het contract en hoeven niet apart gefactureerd te worden."/>
    <s v="Binnen de mantel van de cv-ketel, radiatorkranen en appendages, thermostaatkraan"/>
    <n v="3093835"/>
    <x v="4"/>
    <x v="0"/>
  </r>
  <r>
    <s v="2026-02-09T10:12:09.842015"/>
    <n v="2997407"/>
    <s v="W2546415"/>
    <s v="005102 - Trivire"/>
    <d v="2025-12-07T00:00:00"/>
    <s v="Trivire_Tablis_rhiant.txt"/>
    <x v="0"/>
    <s v="NEE"/>
    <s v="90.0"/>
    <s v="De werkbon beschrijft een storing aan de Remeha Avanta 28c CW4 ketel, waarbij een ontstekingstrafo, ontstekingselektrode en arbeid voor het verhelpen van de storing in rekening worden gebracht. Volgens de contractvoorwaarden vallen 'storingen aan cv-toestellen' buiten het contract, dus deze werkzaamheden kunnen niet worden meegenomen onder het servicecontract. De classificatie is 'NEE' met een hoge mate van zekerheid (0.9)."/>
    <s v="De werkzaamheden vallen buiten het contract omdat de werkbon een storing aan het cv-toestel betreft, terwijl het contract specificeert dat storingen aan het cv-toestel buiten het contract vallen."/>
    <n v="1728355"/>
    <x v="5"/>
    <x v="0"/>
  </r>
  <r>
    <s v="2026-02-09T10:12:09.842015"/>
    <n v="2997412"/>
    <s v="W2546419"/>
    <s v="005102 - Trivire"/>
    <d v="2025-12-07T00:00:00"/>
    <s v="Trivire_Tablis_rhiant.txt"/>
    <x v="0"/>
    <s v="NEE"/>
    <s v="90.0"/>
    <s v="Uit de werkbon blijkt dat er sprake is van een storing aan een gesloten CV-toestel (storingscode 002 - Geen WW). Het contract geeft aan dat dergelijke storingen buiten het contract vallen en apart gefactureerd mogen worden aan de klant. Daarom is de conclusie dat deze werkzaamheden niet onder het contract vallen."/>
    <s v="Het contract geeft aan dat storingen aan gesloten toestellen zoals in dit geval buiten het contract vallen."/>
    <n v="233599"/>
    <x v="6"/>
    <x v="0"/>
  </r>
  <r>
    <s v="2026-02-09T10:12:09.842015"/>
    <n v="2998649"/>
    <s v="W2546869"/>
    <s v="005102 - Trivire"/>
    <d v="2025-12-08T00:00:00"/>
    <s v="Trivire_Tablis_rhiant.txt"/>
    <x v="2"/>
    <s v="JA"/>
    <s v="90.0"/>
    <s v="De werkbon betreft een reparatie aan een cv-ketel waarbij de oorzaak een 'installatie probleem' was. Volgens de contractvoorwaarden vallen deze werkzaamheden binnen het contract, omdat ze plaatsvinden binnen de mantel van de cv-ketel (minder dan 2 meter van de ketel). De gebruikte materialen en arbeid zijn ook in lijn met de contractuele bepalingen."/>
    <s v="Volgens het contractuele overzicht vallen de werkzaamheden binnen de reikwijdte van het contract. De werkzaamheden betreffen een 'lekkage in de ketel', wat onder 'onderhoud/reparatie binnen de mantel van de cv-ketel' valt."/>
    <n v="1176965"/>
    <x v="7"/>
    <x v="1"/>
  </r>
  <r>
    <s v="2026-02-09T10:12:09.842015"/>
    <n v="2998854"/>
    <s v="W2546888"/>
    <s v="005102 - Trivire"/>
    <d v="2025-12-08T00:00:00"/>
    <s v="Trivire_Tablis_rhiant.txt"/>
    <x v="0"/>
    <s v="NEE"/>
    <s v="90.0"/>
    <s v="De werkbon beschrijft een lekkage onder de cv-ketel, wat buiten de contractuele dekking van 'binnen de mantel van de cv-ketel' valt. De aard van de werkzaamheden (storingsherstel) en de gebruikte kostencategorieÃ«n ('CV storingen verhelpen') duiden erop dat deze werkzaamheden buiten het contract vallen en aan de klant gefactureerd moeten worden."/>
    <s v="Werkzaamheden buiten de mantel van de cv-ketel (&lt; 2m) zijn niet inbegrepen in het contract."/>
    <n v="60139"/>
    <x v="8"/>
    <x v="0"/>
  </r>
  <r>
    <s v="2026-02-09T10:12:09.842015"/>
    <n v="2998856"/>
    <s v="W2546889"/>
    <s v="005102 - Trivire"/>
    <d v="2025-12-08T00:00:00"/>
    <s v="Trivire_Tablis_rhiant.txt"/>
    <x v="0"/>
    <s v="NEE"/>
    <s v="90.0"/>
    <s v="De werkbon beschrijft het verhelpen van een CV-storing, waarbij de radiator is vervangen. Deze werkzaamheden vallen buiten het servicecontract, aangezien deze verder dan 2 meter van de ketel plaatsvinden. Daarom is de classificatie 'NEE', de werkzaamheden moeten aan de klant worden gefactureerd."/>
    <s v="Binnen contract vallen alleen werkzaamheden binnen &lt; 2m van de ketel. De beschrijving noemt 'geen CV na vv radiator', wat buiten de contractuele reikwijdte valt."/>
    <n v="5.9647E+16"/>
    <x v="1"/>
    <x v="0"/>
  </r>
  <r>
    <s v="2026-02-09T10:10:06.177226"/>
    <n v="2999322"/>
    <s v="W2546954"/>
    <s v="005102 - Trivire"/>
    <d v="2025-12-09T00:00:00"/>
    <s v="Trivire_Tablis_rhiant.txt"/>
    <x v="0"/>
    <s v="NEE"/>
    <s v="90.0"/>
    <s v="De werkbon beschrijft een storing aan het cv-toestel (remeha avanta 28c CW4), waarbij een ontstekingstrafo en -elektrode zijn vervangen. Deze werkzaamheden vallen buiten het contractbereik, aangezien het om een toestelfout gaat die verder dan 2m van de ketel ligt. Daarom moet deze werkbon aan de klant worden gefactureerd."/>
    <s v="Binnen contract zijn alleen werkzaamheden &lt; 2m van de ketel opgenomen. Storingen aan het toestel vallen buiten contract."/>
    <s v="61.46"/>
    <x v="6"/>
    <x v="0"/>
  </r>
  <r>
    <s v="2026-02-09T10:10:06.177226"/>
    <n v="2999548"/>
    <s v="W2546990"/>
    <s v="005102 - Trivire"/>
    <d v="2025-12-09T00:00:00"/>
    <s v="Trivire_Tablis_rhiant.txt"/>
    <x v="0"/>
    <s v="NEE"/>
    <s v="90.0"/>
    <s v="De werkbon heeft betrekking op een storing aan een tapwater boiler, wat volgens de contractvoorwaarden niet binnen het contract valt. De storingscode 002 - Geen WW en de oorzaakcode 200 - Installatie probleem duiden erop dat de storing niet onder garantie/onderhoud valt. Daarom classificeer ik deze werkbon als 'buiten contract'."/>
    <s v="Storingen aan: gevelkachels, gasgestookte en elektra boilers, luchtverhitters"/>
    <n v="831705"/>
    <x v="9"/>
    <x v="1"/>
  </r>
  <r>
    <s v="2026-02-09T10:10:06.177226"/>
    <n v="2999714"/>
    <s v="W2547010"/>
    <s v="005102 - Trivire"/>
    <d v="2025-12-09T00:00:00"/>
    <s v="Trivire_Tablis_rhiant.txt"/>
    <x v="0"/>
    <s v="NEE"/>
    <s v="90.0"/>
    <s v="De werkzaamheden in deze werkbonketen omvatten het vervangen van diverse onderdelen zoals het hydroblock, driewegklep, manometer en automatisch vulsysteem. Deze onderdelen vallen buiten de contractuele dekking van Rhiant (binnen 2 meter van de ketel). Daarnaast worden er ook werkzaamheden uitgevoerd aan het verwarmingssysteem buiten de directe omgeving van de ketel, zoals aanvoerleidingen radiatoren, verdeler en vloerverwarming, die eveneens buiten het contract vallen. Daarom classificeer ik deze werkbon als 'NEE', met een hoge mate van zekerheid (confidence 0.9)."/>
    <s v="Volgens het contractoverzicht vallen de volgende werkzaamheden buiten het contract: aanvoerleidingen radiator vervangen, spoelen leidingen radiatoren, verdeler, vloerverwarming regelingen, vervangen van voorraadboilers, storingen aan gevelkachels, gasgestookte en elektra boilers, luchtverhitters, ontkalken van boilers, vervangen van zonnecollectoren, reparatie verdeler, slang vervangen, waterslagdemper, close-in boiler, buitenvoeler."/>
    <n v="878977"/>
    <x v="2"/>
    <x v="0"/>
  </r>
  <r>
    <s v="2026-02-09T10:10:06.177226"/>
    <n v="2999755"/>
    <s v="W2547016"/>
    <s v="005102 - Trivire"/>
    <d v="2025-12-09T00:00:00"/>
    <s v="Trivire_Tablis_rhiant.txt"/>
    <x v="2"/>
    <s v="JA"/>
    <s v="90.0"/>
    <s v="De werkzaamheden betreffen het repareren van een defecte radiatorkraan, welke volgens het contractoverzicht vallen binnen het onderhoudscontract. De werkzaamheden zijn uitgevoerd binnen 2 meter van de cv-ketel, waardoor ze binnen de contractuele voorwaarden vallen."/>
    <s v="Binnen contract - Radiatorkranen en appendages &lt; 2m van de cv-ketel"/>
    <n v="1050315"/>
    <x v="1"/>
    <x v="0"/>
  </r>
  <r>
    <s v="2026-02-09T10:10:06.177226"/>
    <n v="3000716"/>
    <s v="W2547108"/>
    <s v="005102 - Trivire"/>
    <d v="2025-12-10T00:00:00"/>
    <s v="Trivire_Tablis_rhiant.txt"/>
    <x v="2"/>
    <s v="JA"/>
    <s v="90.0"/>
    <s v="De werkzaamheden voor het verhelpen van een defecte radiatorkraan vallen binnen de contractuele voorwaarden, aangezien de storingen binnen 2 meter van de cv-ketel plaatsvinden. De vervangen onderdelen, zoals de radiatorkraan, zijn ook opgenomen in het contract. Daarnaast zijn de uitgevoerde werkzaamheden, zoals reistijd en storingen verhelpen, eveneens contractueel gedekt."/>
    <s v="Rhiant (Alles binnen &lt; 2 m van de ketel binnen contract)"/>
    <n v="101791"/>
    <x v="1"/>
    <x v="0"/>
  </r>
  <r>
    <s v="2026-02-09T10:10:06.177226"/>
    <n v="3000775"/>
    <s v="W2547114"/>
    <s v="005102 - Trivire"/>
    <d v="2025-12-10T00:00:00"/>
    <s v="Trivire_Tablis_rhiant.txt"/>
    <x v="2"/>
    <s v="JA"/>
    <s v="90.0"/>
    <s v="De werkbon beschrijft het verhelpen van een defecte radiatorkraan, wat volgens de contractvoorwaarden onder het onderhoud valt en binnen het servicecontract wordt uitgevoerd. De werkzaamheden en kosten passen binnen de contractafspraken."/>
    <s v="Radiatorkranen en appendages vallen binnen het contract"/>
    <n v="5.137E+16"/>
    <x v="10"/>
    <x v="1"/>
  </r>
  <r>
    <s v="2026-02-09T10:10:06.177226"/>
    <n v="3000802"/>
    <s v="W2547120"/>
    <s v="005102 - Trivire"/>
    <d v="2025-12-10T00:00:00"/>
    <s v="Trivire_Tablis_rhiant.txt"/>
    <x v="2"/>
    <s v="JA"/>
    <s v="90.0"/>
    <s v="De werkbon beschrijft het vervangen van een defecte radiatorkraan, wat volgens de contractvoorwaarden binnen het contract valt. De werkzaamheden, materialen en kostenposten passen binnen de afspraken in het servicecontract. Ik heb daarom een hoge mate van zekerheid dat deze werkbon volledig binnen het contract valt."/>
    <s v="Radiatorkranen en appendages vallen binnen het contract."/>
    <n v="1179865"/>
    <x v="10"/>
    <x v="1"/>
  </r>
  <r>
    <s v="2026-02-09T10:10:06.177226"/>
    <n v="3000917"/>
    <s v="W2547131"/>
    <s v="005102 - Trivire"/>
    <d v="2025-12-10T00:00:00"/>
    <s v="Trivire_Tablis_rhiant.txt"/>
    <x v="2"/>
    <s v="JA"/>
    <s v="90.0"/>
    <s v="De werkbon valt binnen het servicecontract, aangezien de werkzaamheden betrekking hebben op een defecte radiatorkraan binnen 2 meter van de cv-ketel. Dit is volgens de contractvoorwaarden onderdeel van het Rhiant-pakket en valt dus binnen de dekking van het servicecontract."/>
    <s v="Rhiant (Alles binnen &lt; 2 m van de ketel binnen contract) - radiatorkranen en appendages"/>
    <n v="47881"/>
    <x v="1"/>
    <x v="0"/>
  </r>
  <r>
    <s v="2026-02-09T10:10:06.177226"/>
    <n v="3001034"/>
    <s v="W2547140"/>
    <s v="005102 - Trivire"/>
    <d v="2025-12-10T00:00:00"/>
    <s v="Trivire_Tablis_rhiant.txt"/>
    <x v="2"/>
    <s v="JA"/>
    <s v="90.0"/>
    <s v="De werkzaamheden bestaan uit het repareren van een lekkage onder de cv-ketel, waarbij materiaal is gebruikt voor het vervangen van een buisje en een bocht. Deze werkzaamheden vallen binnen het servicecontract, omdat ze betrekking hebben op onderdelen binnen 2 meter van de cv-ketel. De storingscode 006.1 en oorzaakcode 200 bevestigen dat het om een installatieprobleem gaat, wat ook onder het contract valt."/>
    <s v="Conform onderdelen 'binnen de mantel van de cv-ketel' en 'rookgasafvoer &lt; 2m' binnen het contract"/>
    <n v="9745349999999990"/>
    <x v="10"/>
    <x v="1"/>
  </r>
  <r>
    <s v="2026-02-09T10:10:06.177226"/>
    <n v="3001438"/>
    <s v="W2547196"/>
    <s v="005102 - Trivire"/>
    <d v="2025-12-10T00:00:00"/>
    <s v="Trivire_Tablis_rhiant.txt"/>
    <x v="0"/>
    <s v="NEE"/>
    <s v="90.0"/>
    <s v="De werkbon bevat items zoals radiatorvervanging, reparatie aan expansievat en materialen voor leidingen verder dan 2m van de ketel, welke volgens het contract buiten het servicecontract vallen en moeten worden gefactureerd aan de klant."/>
    <s v="Radiatorvervanging, leidingen &gt; 2m van ketel, reparatie expansievat"/>
    <n v="4.08953E+16"/>
    <x v="11"/>
    <x v="0"/>
  </r>
  <r>
    <s v="2026-02-09T10:07:12.750839"/>
    <n v="3002525"/>
    <s v="W2547323"/>
    <s v="005102 - Trivire"/>
    <d v="2025-12-12T00:00:00"/>
    <s v="Trivire_Tablis_rhiant.txt"/>
    <x v="2"/>
    <s v="JA"/>
    <s v="90.0"/>
    <s v="Uit de werkbon informatie blijkt dat de lekkage zich bevindt aan de warmwater ringleiding in de koof, wat zich binnen 2 meter van de ketel bevindt. Volgens de contractvoorwaarden vallen dergelijke werkzaamheden binnen het contract. De storingscodes en oorzaken passen ook binnen de contractvoorwaarden. Daarom classificeer ik deze werkbon als JA, met een hoge mate van zekerheid (0.9)."/>
    <s v="Rhiant (Alles binnen &lt; 2 m van de ketel binnen contract)"/>
    <n v="2177005"/>
    <x v="1"/>
    <x v="0"/>
  </r>
  <r>
    <s v="2026-02-09T10:07:12.750839"/>
    <n v="3002636"/>
    <s v="W2547349"/>
    <s v="005102 - Trivire"/>
    <d v="2025-12-12T00:00:00"/>
    <s v="Trivire_Tablis_rhiant.txt"/>
    <x v="2"/>
    <s v="JA"/>
    <s v="90.0"/>
    <s v="De werkzaamheden in deze werkbon hebben betrekking op het verhelpen van een CV-storing, wat binnen het contract valt volgens de contractvoorwaarden. De monteur heeft de nodige werkzaamheden uitgevoerd binnen de 2 meter rondom de CV-ketel, zoals bijvullen, ontluchten en vervangen van onderdelen. Dit valt allemaal binnen het contract."/>
    <s v="Binnen &lt; 2m van de ketel: bijvullen en ontluchten, rookgasafvoer ringen vervangen, cv-leiding &lt; 2m, radiatorkranen en appendages, thermostaatkraan, vulkraan, luchtafscheider, ontluchter, vervangen batterijen kamerthermostaat, leveren vulset, Tappot"/>
    <n v="405695"/>
    <x v="12"/>
    <x v="1"/>
  </r>
  <r>
    <s v="2026-02-09T10:07:12.750839"/>
    <n v="3002707"/>
    <s v="W2547364"/>
    <s v="005102 - Trivire"/>
    <d v="2025-12-12T00:00:00"/>
    <s v="Trivire_Tablis_rhiant.txt"/>
    <x v="2"/>
    <s v="JA"/>
    <s v="90.0"/>
    <s v="De werkbon beschrijft het vervangen van een defecte radiatorkraan/knop, wat volgens de contractvoorwaarden binnen het contract valt. De werkzaamheden vinden plaats binnen 2 meter van de cv-ketel, wat ook binnen het contract is. Daarom classificeer ik deze werkbon als 'JA', met een hoge mate van zekerheid."/>
    <s v="Binnen de mantel van de cv-ketel: X"/>
    <s v="32.76"/>
    <x v="10"/>
    <x v="1"/>
  </r>
  <r>
    <s v="2026-02-09T10:07:12.750839"/>
    <n v="3002902"/>
    <s v="W2547401"/>
    <s v="005102 - Trivire"/>
    <d v="2025-12-12T00:00:00"/>
    <s v="Trivire_Tablis_rhiant.txt"/>
    <x v="1"/>
    <s v="JA"/>
    <s v="80.0"/>
    <s v="De werkbon valt binnen het servicecontract, omdat de werkzaamheden betrekking hebben op het verhelpen van een storing aan de cv-installatie binnen de mantel van de ketel (&lt; 2m). De uitgevoerde taken zoals reistijd, diagnose en reparatie vallen onder de contractueel gedekte werkzaamheden."/>
    <s v="Binnen de mantel van de cv-ketel: X, Rhiant (Alles binnen &lt; 2 m van de ketel binnen contract)"/>
    <n v="1.07340499999999E+16"/>
    <x v="13"/>
    <x v="0"/>
  </r>
  <r>
    <s v="2026-02-09T10:07:12.750839"/>
    <n v="3003090"/>
    <s v="W2547409"/>
    <s v="005102 - Trivire"/>
    <d v="2025-12-12T00:00:00"/>
    <s v="Trivire_Tablis_rhiant.txt"/>
    <x v="2"/>
    <s v="JA"/>
    <s v="90.0"/>
    <s v="De werkzaamheden beschreven in de werkbon vallen binnen het servicecontract voor individuele installaties van Trivire. De werkbon bevat het verhelpen van een storing aan de warmtepomp, wat binnen de contractcategorie 'storingen aan warmtepompen' valt. De arbeidskosten voor reistijd en het verhelpen van de storing zijn contractueel gedekt."/>
    <s v="Binnen de mantel van de cv-ketel: X"/>
    <n v="172857"/>
    <x v="14"/>
    <x v="1"/>
  </r>
  <r>
    <s v="2026-02-09T10:07:12.750839"/>
    <n v="3003234"/>
    <s v="W2547440"/>
    <s v="005102 - Trivire"/>
    <d v="2025-12-13T00:00:00"/>
    <s v="Trivire_Tablis_rhiant.txt"/>
    <x v="0"/>
    <s v="NEE"/>
    <s v="90.0"/>
    <s v="De werkzaamheden beschreven in deze werkbon, waaronder het vervangen van de ontstekingstrafo en het verhelpen van CV-storingen, vallen buiten het servicecontract. Volgens de contractvoorwaarden zijn deze onderdelen en werkzaamheden niet gedekt door het contract."/>
    <s v="Materiaal buiten contract: 'Ontstekingstrafo+ ontstek.ion/electrode S100012'. Arbeid voor 'CV storingen verhelpen' valt ook buiten contract."/>
    <n v="1.105525E+16"/>
    <x v="6"/>
    <x v="0"/>
  </r>
  <r>
    <s v="2026-02-09T10:07:12.750839"/>
    <n v="3003235"/>
    <s v="W2547441"/>
    <s v="005102 - Trivire"/>
    <d v="2025-12-13T00:00:00"/>
    <s v="Trivire_Tablis_rhiant.txt"/>
    <x v="0"/>
    <s v="NEE"/>
    <s v="90.0"/>
    <s v="De werkbon betreft een storing aan de cv-ketel, waarbij een expansievat is vervangen. Volgens de contractvoorwaarden vallen storingen aan cv-installaties buiten het contract en moeten deze apart gefactureerd worden aan de klant."/>
    <s v="Alle items onder 'Storingen aan:' in het contract vallen buiten het contract."/>
    <n v="8812049999999990"/>
    <x v="15"/>
    <x v="0"/>
  </r>
  <r>
    <s v="2026-02-09T10:07:12.750839"/>
    <n v="3003238"/>
    <s v="W2547444"/>
    <s v="005102 - Trivire"/>
    <d v="2025-12-13T00:00:00"/>
    <s v="Trivire_Tablis_rhiant.txt"/>
    <x v="0"/>
    <s v="NEE"/>
    <s v="90.0"/>
    <s v="De werkbon valt buiten het servicecontract, omdat de werkzaamheden betrekking hebben op een storing aan de cv-ketel waarbij onderdelen zijn vervangen die niet binnen 2 meter van de ketel vallen. Volgens de contractvoorwaarden vallen deze werkzaamheden buiten het contract en moeten ze apart gefactureerd worden aan de klant."/>
    <s v="Niet onder Rhiant (Alles binnen &lt; 2 m van de ketel binnen contract)"/>
    <n v="120458"/>
    <x v="16"/>
    <x v="0"/>
  </r>
  <r>
    <s v="2026-02-09T10:07:12.750839"/>
    <n v="3003244"/>
    <s v="W2547450"/>
    <s v="005102 - Trivire"/>
    <d v="2025-12-13T00:00:00"/>
    <s v="Trivire_Tablis_rhiant.txt"/>
    <x v="0"/>
    <s v="NEE"/>
    <s v="90.0"/>
    <s v="De werkzaamheden op deze werkbon vallen buiten het servicecontract. Het gaat om reparatie van een storing aan de cv-ketel, waarbij diverse materialen en arbeidsuren zijn gefactureerd. Deze typen werkzaamheden worden in het contract expliciet benoemd als 'buiten contract' en dienen apart te worden gefactureerd aan de klant."/>
    <s v="Diverse posten in het contract vallen buiten het contract, zoals: vervangen expansievat, ontluchter, autom. ontluchter, en arbeid voor het verhelpen van CV storingen."/>
    <n v="184164"/>
    <x v="6"/>
    <x v="0"/>
  </r>
  <r>
    <s v="2026-02-09T10:07:12.750839"/>
    <n v="3003264"/>
    <s v="W2547458"/>
    <s v="005102 - Trivire"/>
    <d v="2025-12-13T00:00:00"/>
    <s v="Trivire_Tablis_rhiant.txt"/>
    <x v="0"/>
    <s v="NEE"/>
    <s v="90.0"/>
    <s v="De werkzaamheden vallen deels buiten het contract. Hoewel de werkzaamheden binnen 2m van de cv-ketel plaatsvinden (wat binnen het contract valt), zijn er ook kosten voor 'Installatie storingen verhelpen' en 'Reistijd werkbon' die niet specifiek in het contract zijn opgenomen. Daarnaast is er een extra materiaalkosten voor glycerol, wat ook niet onder de contractvoorwaarden valt. Daarom classificeer ik deze werkbon als buiten het contract vallend."/>
    <s v="Contractvoorwaarden diverse WBV.xlsx (sheet: Trivire Tablis rhiant)"/>
    <n v="169353"/>
    <x v="17"/>
    <x v="1"/>
  </r>
  <r>
    <s v="2026-02-09T10:05:09.211639"/>
    <n v="3003433"/>
    <s v="W2547475"/>
    <s v="005102 - Trivire"/>
    <d v="2025-12-15T00:00:00"/>
    <s v="Trivire_Tablis_rhiant.txt"/>
    <x v="2"/>
    <s v="JA"/>
    <s v="90.0"/>
    <s v="De werkbon bevat werkzaamheden voor het verhelpen van een defecte radiatorkraan, wat volgens de contractvoorwaarden binnen het contract valt. De kosten voor arbeid en materiaal (haaks) zijn daarom niet aan de klant in rekening te brengen."/>
    <s v="Het contract vermeldt dat het vervangen van radiatorkranen en appendages binnen het contract valt."/>
    <n v="132277"/>
    <x v="10"/>
    <x v="1"/>
  </r>
  <r>
    <s v="2026-02-09T10:05:09.211639"/>
    <n v="3003674"/>
    <s v="W2547479"/>
    <s v="005102 - Trivire"/>
    <d v="2025-12-15T00:00:00"/>
    <s v="Trivire_Tablis_rhiant.txt"/>
    <x v="2"/>
    <s v="JA"/>
    <s v="90.0"/>
    <s v="De werkbon heeft betrekking op een storing aan de cv-installatie, wat volgens het contract binnen het onderhoudscontract valt. De storingscode 'GEEN CV en WW' en de uitgevoerde werkzaamheden 'CV storingen verhelpen' passen binnen de contractuele voorwaarden."/>
    <s v="Conform artikel 'Storingen aan:gevelkachelkachels, gasgestookte en elektra boilers, luchtverhitters' in het contract"/>
    <n v="34092"/>
    <x v="18"/>
    <x v="1"/>
  </r>
  <r>
    <s v="2026-02-09T10:05:09.211639"/>
    <n v="3004000"/>
    <s v="W2547634"/>
    <s v="005102 - Trivire"/>
    <d v="2025-12-15T00:00:00"/>
    <s v="Trivire_Tablis_rhiant.txt"/>
    <x v="1"/>
    <s v="JA"/>
    <s v="80.0"/>
    <s v="Volgens de contractvoorwaarden vallen de werkzaamheden binnen het servicecontract, aangezien het gaat om onderhoud aan de cv-ketel en controle van de zonneboiler, die binnen de mantel van de cv-ketel vallen. De storingscode 'Diverse werkzaamheden' en oorzaakcode 'Algemene werkzaamheden' passen ook binnen het contract. De monteur heeft de juiste uren gefactureerd voor reistijd en cv-storingen verhelpen."/>
    <s v="Binnen de mantel van de cv-ketel: X, Tappot: X, Servicebezoek fabrikant - binnen ketel = binnen contract: X"/>
    <n v="327705"/>
    <x v="18"/>
    <x v="0"/>
  </r>
  <r>
    <s v="2026-02-09T10:05:09.211639"/>
    <n v="3007693"/>
    <s v="W2548061"/>
    <s v="005102 - Trivire"/>
    <d v="2025-12-16T00:00:00"/>
    <s v="Trivire_Tablis_rhiant.txt"/>
    <x v="2"/>
    <s v="JA"/>
    <s v="90.0"/>
    <s v="De werkzaamheden vallen binnen het contract, omdat de lekkage aan de installatie binnen 2 meter van de ketel is. Volgens het contract vallen werkzaamheden binnen 2 meter van de ketel binnen het contract. Daarnaast vallen de gebruikte materialen en arbeidstaken ook onder de contractvoorwaarden."/>
    <s v="Contractvoorwaarden diverse WBV.xlsx (sheet: Trivire Tablis rhiant)"/>
    <n v="1.47154999999999E+16"/>
    <x v="19"/>
    <x v="0"/>
  </r>
  <r>
    <s v="2026-02-09T10:05:09.211639"/>
    <n v="3007818"/>
    <s v="W2548092"/>
    <s v="005102 - Trivire"/>
    <d v="2025-12-16T00:00:00"/>
    <s v="Trivire_Tablis_rhiant.txt"/>
    <x v="2"/>
    <s v="JA"/>
    <s v="90.0"/>
    <s v="Volgens de contractvoorwaarden vallen de werkzaamheden om een GEEN CV en WW-installatie bij te vullen binnen het contract. De storingsmeldingen en het bijvullen van de installatie passen binnen de omschreven dekking van het contract."/>
    <s v="Binnen de mantel van de cv-ketel: X, Storingen aan: gevelkachelkachels, gasgestookte en elektra boilers, luchtverhitters: X"/>
    <n v="49943"/>
    <x v="18"/>
    <x v="1"/>
  </r>
  <r>
    <s v="2026-02-09T10:05:09.211639"/>
    <n v="3007972"/>
    <s v="W2548123"/>
    <s v="005102 - Trivire"/>
    <d v="2025-12-16T00:00:00"/>
    <s v="Trivire_Tablis_rhiant.txt"/>
    <x v="0"/>
    <s v="NEE"/>
    <s v="90.0"/>
    <s v="De werkbon betreft een 'GEEN CV en WW' storing, wat volgens de contractvoorwaarden buiten het contract valt. De werkbon bevat kosten voor materiaal, reistijd en arbeid voor het verhelpen van de storing. Aangezien dit geen regulier onderhoud of reparatie binnen 2 meter van de cv-ketel betreft, classificeer ik de werkbon als buiten het contract vallend."/>
    <s v="Alle items onder 'Storingen aan:' in het contract vallen buiten het contract."/>
    <n v="2.10765E+16"/>
    <x v="6"/>
    <x v="0"/>
  </r>
  <r>
    <s v="2026-02-09T10:05:09.211639"/>
    <n v="3008071"/>
    <s v="W2548129"/>
    <s v="005102 - Trivire"/>
    <d v="2025-12-16T00:00:00"/>
    <s v="Trivire_Tablis_rhiant.txt"/>
    <x v="2"/>
    <s v="JA"/>
    <s v="90.0"/>
    <s v="De werkzaamheden in deze werkbonketen hebben betrekking op het verhelpen van een storing aan het CV-toestel, waarbij de oorzaak binnen de mantel van de CV-ketel ligt. Volgens de contractvoorwaarden vallen dergelijke werkzaamheden binnen het contract, aangezien deze expliciet worden vermeld als onderdeel van de gedekte dienstverlening."/>
    <s v="Binnen de mantel van de cv-ketel: X"/>
    <n v="2962375"/>
    <x v="20"/>
    <x v="0"/>
  </r>
  <r>
    <s v="2026-02-09T10:05:09.211639"/>
    <n v="3008294"/>
    <s v="W2548162"/>
    <s v="005102 - Trivire"/>
    <d v="2025-12-16T00:00:00"/>
    <s v="Trivire_Tablis_rhiant.txt"/>
    <x v="2"/>
    <s v="JA"/>
    <s v="90.0"/>
    <s v="De werkbon bevat werkzaamheden voor het verhelpen van een lekkage aan de installatie, waarbij materialen zijn gebruikt voor reparatie van leidingen binnen 2 meter van de cv-ketel. Deze werkzaamheden vallen onder het Trivire Tablis rhiant contract en hoeven niet extra gefactureerd te worden."/>
    <s v="Binnen de mantel van de cv-ketel: &lt; 2m"/>
    <n v="2.18329999999999E+16"/>
    <x v="1"/>
    <x v="0"/>
  </r>
  <r>
    <s v="2026-02-09T10:05:09.211639"/>
    <n v="3008375"/>
    <s v="W2548170"/>
    <s v="005102 - Trivire"/>
    <d v="2025-12-16T00:00:00"/>
    <s v="Trivire_Tablis_rhiant.txt"/>
    <x v="1"/>
    <s v="JA"/>
    <s v="80.0"/>
    <s v="De werkzaamheden in deze werkbon vallen binnen het servicecontract. De gemelde storing 'Geen CV' en de uitgevoerde werkzaamheden 'CV storingen verhelpen' en 'Reistijd werkbon' zijn onderdeel van de contractueel gedekte werkzaamheden binnen de mantel van de cv-ketel. De kosten voor arbeid zijn daarom niet extra te factureren aan de klant."/>
    <s v="Binnen de mantel van de cv-ketel: X"/>
    <n v="5.1724999999999904E+16"/>
    <x v="18"/>
    <x v="0"/>
  </r>
  <r>
    <s v="2026-02-09T10:05:09.211639"/>
    <n v="3008478"/>
    <s v="W2548193"/>
    <s v="005102 - Trivire"/>
    <d v="2025-12-16T00:00:00"/>
    <s v="Trivire_Tablis_rhiant.txt"/>
    <x v="0"/>
    <s v="NEE"/>
    <s v="90.0"/>
    <s v="De werkbon bevat werkzaamheden voor het vervangen van een driewegklep en een pomp van de cv-ketel, die volgens het contract buiten de 2 meter mantel van de ketel vallen. Daarnaast is er sprake van reistijd en arbeid voor het verhelpen van de cv-storing, wat ook niet binnen het contract valt. Daarom classificeer ik deze werkbon als vallend buiten het contract."/>
    <s v="Werkzaamheden buiten de 2 meter mantel van de ketel, vervanging van componenten zoals driewegklep en pomp"/>
    <n v="4086375"/>
    <x v="6"/>
    <x v="0"/>
  </r>
  <r>
    <s v="2026-02-09T09:33:10.420260"/>
    <n v="3008669"/>
    <s v="W2548204"/>
    <s v="005102 - Trivire"/>
    <d v="2025-12-17T00:00:00"/>
    <s v="Trivire_Tablis_rhiant.txt"/>
    <x v="2"/>
    <s v="JA"/>
    <s v="90.0"/>
    <s v="De werkzaamheden op deze werkbon vallen binnen het servicecontract. De storingen aan de kamerthermostaat en het doorbranden van de radiator zijn items die duidelijk binnen het contract vallen volgens de contractvoorwaarden. Daarnaast vallen de uitgevoerde werkzaamheden, zoals het verhelpen van de storing, ook binnen de contractvoorwaarden. De kosten voor reistijd en arbeid zijn daarom niet apart aan de klant door te berekenen."/>
    <s v="Rhiant (Alles binnen &lt; 2 m van de ketel binnen contract)"/>
    <n v="380425"/>
    <x v="1"/>
    <x v="0"/>
  </r>
  <r>
    <s v="2026-02-09T09:33:10.420260"/>
    <n v="3008692"/>
    <s v="W2548207"/>
    <s v="005102 - Trivire"/>
    <d v="2025-12-17T00:00:00"/>
    <s v="Trivire_Tablis_rhiant.txt"/>
    <x v="0"/>
    <s v="NEE"/>
    <s v="90.0"/>
    <s v="Volgens de contractvoorwaarden vallen storingen aan vloerverwarmingssystemen buiten het servicecontract. De werkbon bevat een storing aan de vloerverwarming, waardoor deze niet onder het contract valt. De monteur heeft de storing verholpen en de kosten kunnen aan de klant worden gefactureerd."/>
    <s v="Storingen aan vloerverwarming systemen worden in het contract als buiten contract benoemd."/>
    <n v="1.489295E+16"/>
    <x v="20"/>
    <x v="1"/>
  </r>
  <r>
    <s v="2026-02-09T09:33:10.420260"/>
    <n v="3008701"/>
    <s v="W2548208"/>
    <s v="005102 - Trivire"/>
    <d v="2025-12-17T00:00:00"/>
    <s v="Trivire_Tablis_rhiant.txt"/>
    <x v="2"/>
    <s v="JA"/>
    <s v="90.0"/>
    <s v="Volgens het contractoverzicht vallen werkzaamheden binnen 2 meter van de ketel, zoals het repareren van een radiatorkraan, volledig onder het servicecontract. De werkbon beschrijft een storing aan een radiatorkraan, waarbij de monteur de storing heeft verholpen. Daarom vallen deze werkzaamheden binnen het contract."/>
    <s v="Radiatorkraan / knop defect wordt binnen het contract uitgevoerd voor zover deze zich binnen 2 meter van de ketel bevinden."/>
    <n v="3.3846E+16"/>
    <x v="1"/>
    <x v="0"/>
  </r>
  <r>
    <s v="2026-02-09T09:33:10.420260"/>
    <n v="3009146"/>
    <s v="W2548268"/>
    <s v="005102 - Trivire"/>
    <d v="2025-12-17T00:00:00"/>
    <s v="Trivire_Tablis_rhiant.txt"/>
    <x v="2"/>
    <s v="JA"/>
    <s v="90.0"/>
    <s v="De werkzaamheden in deze werkbon hebben betrekking op het verhelpen van een lekkage onder de cv-ketel, wat volgens het contractoverzicht valt onder 'binnen de mantel van de cv-ketel: &lt; 2m' en daarmee binnen het contract valt. De gebruikte materialen, zoals de PVC-buis, sifon en fittingen, passen ook binnen deze categorisering. Daarnaast wordt er geen vermelding gemaakt van uitgesloten werkzaamheden in het contract. Daarom classificeer ik deze werkbon als vallend binnen het servicecontract."/>
    <s v="Binnen de mantel van de cv-ketel: &lt; 2m"/>
    <n v="99274"/>
    <x v="8"/>
    <x v="1"/>
  </r>
  <r>
    <s v="2026-02-09T09:33:10.420260"/>
    <n v="3010455"/>
    <s v="W2548428"/>
    <s v="005102 - Trivire"/>
    <d v="2025-12-18T00:00:00"/>
    <s v="Trivire_Tablis_rhiant.txt"/>
    <x v="2"/>
    <s v="JA"/>
    <s v="90.0"/>
    <s v="De werkbon heeft betrekking op het verhelpen van een storing aan de cv-installatie, waarbij de volgende onderdelen binnen het contract vallen: actuator, driewegklep en cartridge-restrictor. De monteur heeft de storing binnen de 2 meter van de cv-ketel verholpen, wat ook binnen het contract valt. Daarnaast vallen storingen aan WTW-units ook binnen het contract. Daarom classificeer ik deze werkbon als 'JA', deze werkzaamheden vallen volledig binnen het contract."/>
    <s v="Binnen contract: 'Rhiant (Alles binnen &lt; 2 m van de ketel binnen contract)' en 'Storingen aan: WTW-units'"/>
    <s v="147.36"/>
    <x v="6"/>
    <x v="1"/>
  </r>
  <r>
    <s v="2026-02-09T09:33:10.420260"/>
    <n v="3010631"/>
    <s v="W2548454"/>
    <s v="005102 - Trivire"/>
    <d v="2025-12-18T00:00:00"/>
    <s v="Trivire_Tablis_rhiant.txt"/>
    <x v="2"/>
    <s v="JA"/>
    <s v="90.0"/>
    <s v="De werkzaamheden in deze werkbonketen vallen binnen het Trivire Tablis rhiant contract. De uitgevoerde werkzaamheden, zoals het verhelpen van een storing aan een gesloten CV-toestel met warm water, worden genoemd in het contract als onderdeel van de onderhoudsactiviteiten binnen 2 meter van de CV-ketel. Er zijn geen kostenposten vermeld die buiten het contract vallen."/>
    <s v="Rhiant (Alles binnen &lt; 2 m van de ketel binnen contract)"/>
    <n v="115716"/>
    <x v="18"/>
    <x v="1"/>
  </r>
  <r>
    <s v="2026-02-09T09:33:10.420260"/>
    <n v="3010648"/>
    <s v="W2548457"/>
    <s v="005102 - Trivire"/>
    <d v="2025-12-18T00:00:00"/>
    <s v="Trivire_Tablis_rhiant.txt"/>
    <x v="2"/>
    <s v="JA"/>
    <s v="90.0"/>
    <s v="De werkbon heeft betrekking op het bijvullen van de CV-installatie, wat volgens de contractvoorwaarden binnen het contract valt. De materiaalkosten en arbeidskosten zijn daarnaast redelijk laag en passen binnen de normale werkzaamheden die onder het contract vallen. Er zijn geen aanwijzingen dat de werkzaamheden buiten het contract zouden vallen."/>
    <s v="Het werkbon valt binnen de contractvoorwaarden omdat de werkzaamheden betrekking hebben op het bijvullen van de installatie, wat binnen het contract van Trivire Tablis rhiant valt (zie sectie 'binnen de mantel van de cv-ketel: bijvullen en ontluchten')."/>
    <n v="1.15994499999999E+16"/>
    <x v="6"/>
    <x v="1"/>
  </r>
  <r>
    <s v="2026-02-09T09:33:10.420260"/>
    <n v="3010931"/>
    <s v="W2548498"/>
    <s v="005102 - Trivire"/>
    <d v="2025-12-18T00:00:00"/>
    <s v="Trivire_Tablis_rhiant.txt"/>
    <x v="2"/>
    <s v="JA"/>
    <s v="90.0"/>
    <s v="De werkbon bevat alleen werkzaamheden die binnen het contract vallen. De werkzaamheden hebben betrekking op onderdelen binnen 2 meter van de cv-ketel, zoals het expansievat, de ontluchter en het veiligheidsventiel. Daarnaast is de storingscode 'Drukverlies' een storingsgeval dat wordt behandeld onder het contract. De werkzaamheden vallen daarom binnen het Trivire Tablis rhiant contract."/>
    <s v="Binnen &lt; 2 m van de ketel: Expansievat, Automaat. ontluchter, Veiligheidsventiel"/>
    <n v="8947749999999990"/>
    <x v="6"/>
    <x v="1"/>
  </r>
  <r>
    <s v="2026-02-09T09:33:10.420260"/>
    <n v="3010988"/>
    <s v="W2548509"/>
    <s v="005102 - Trivire"/>
    <d v="2025-12-19T00:00:00"/>
    <s v="Trivire_Tablis_rhiant.txt"/>
    <x v="0"/>
    <s v="NEE"/>
    <s v="90.0"/>
    <s v="Volgens de contractvoorwaarden vallen storingen als gevolg van huurdersgedrag buiten het contract. De werkbon vermeldt dat de oorzaak een 'Probleem door derde' is, wat duidt op huurdersgedrag. Daarom classificeer ik deze werkbon als 'buiten contract' en moeten de kosten worden gefactureerd aan de klant."/>
    <s v="Storingen aan apparatuur door huurdersgedrag en gevolgen hiervan worden niet vergoed onder het contract."/>
    <n v="729815"/>
    <x v="21"/>
    <x v="1"/>
  </r>
  <r>
    <s v="2026-02-09T09:33:10.420260"/>
    <n v="3011594"/>
    <s v="W2548579"/>
    <s v="005102 - Trivire"/>
    <d v="2025-12-19T00:00:00"/>
    <s v="Trivire_Tablis_rhiant.txt"/>
    <x v="2"/>
    <s v="JA"/>
    <s v="90.0"/>
    <s v="De werkbon bevat een reparatie aan een radiatorkraan, welke volgens het contract volledig binnen het onderhoud valt. De oorzaak is een installatie probleem, wat ook onder het contract wordt gedekt. De werkzaamheden en bijbehorende kosten vallen daarom binnen het servicecontract."/>
    <s v="Binnen de mantel van de cv-ketel: radiatorkranen en appendages"/>
    <n v="24244"/>
    <x v="1"/>
    <x v="0"/>
  </r>
  <r>
    <m/>
    <m/>
    <m/>
    <m/>
    <m/>
    <m/>
    <x v="3"/>
    <m/>
    <m/>
    <m/>
    <m/>
    <m/>
    <x v="1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01607-75E1-4EE2-B51C-3CB9175D450E}" name="Draaitabel1" cacheId="5" applyNumberFormats="0" applyBorderFormats="0" applyFontFormats="0" applyPatternFormats="0" applyAlignmentFormats="0" applyWidthHeightFormats="1" dataCaption="Waarden" updatedVersion="8" minRefreshableVersion="3" useAutoFormatting="1" itemPrintTitles="1" createdVersion="8" indent="0" outline="1" outlineData="1" multipleFieldFilters="0">
  <location ref="A3:B15" firstHeaderRow="1" firstDataRow="1" firstDataCol="1" rowPageCount="1" colPageCount="1"/>
  <pivotFields count="14">
    <pivotField showAll="0"/>
    <pivotField showAll="0"/>
    <pivotField showAll="0"/>
    <pivotField showAll="0"/>
    <pivotField showAll="0"/>
    <pivotField showAll="0"/>
    <pivotField axis="axisRow" dataField="1" showAll="0">
      <items count="5">
        <item x="2"/>
        <item x="0"/>
        <item x="1"/>
        <item x="3"/>
        <item t="default"/>
      </items>
    </pivotField>
    <pivotField showAll="0"/>
    <pivotField showAll="0"/>
    <pivotField showAll="0"/>
    <pivotField showAll="0"/>
    <pivotField showAll="0"/>
    <pivotField axis="axisPage" multipleItemSelectionAllowed="1" showAll="0">
      <items count="23">
        <item x="14"/>
        <item x="3"/>
        <item x="15"/>
        <item x="18"/>
        <item x="13"/>
        <item x="6"/>
        <item x="19"/>
        <item x="2"/>
        <item x="16"/>
        <item x="5"/>
        <item x="11"/>
        <item x="7"/>
        <item x="12"/>
        <item x="21"/>
        <item x="17"/>
        <item x="8"/>
        <item x="9"/>
        <item h="1" x="1"/>
        <item x="0"/>
        <item x="4"/>
        <item x="20"/>
        <item x="10"/>
        <item t="default"/>
      </items>
    </pivotField>
    <pivotField axis="axisRow" showAll="0">
      <items count="4">
        <item x="0"/>
        <item x="1"/>
        <item x="2"/>
        <item t="default"/>
      </items>
    </pivotField>
  </pivotFields>
  <rowFields count="2">
    <field x="6"/>
    <field x="13"/>
  </rowFields>
  <rowItems count="12">
    <i>
      <x/>
    </i>
    <i r="1">
      <x/>
    </i>
    <i r="1">
      <x v="1"/>
    </i>
    <i>
      <x v="1"/>
    </i>
    <i r="1">
      <x/>
    </i>
    <i r="1">
      <x v="1"/>
    </i>
    <i>
      <x v="2"/>
    </i>
    <i r="1">
      <x/>
    </i>
    <i r="1">
      <x v="1"/>
    </i>
    <i>
      <x v="3"/>
    </i>
    <i r="1">
      <x v="2"/>
    </i>
    <i t="grand">
      <x/>
    </i>
  </rowItems>
  <colItems count="1">
    <i/>
  </colItems>
  <pageFields count="1">
    <pageField fld="12" hier="-1"/>
  </pageFields>
  <dataFields count="1">
    <dataField name="Aantal van classificati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4BC42-4B53-42F9-A66D-A8AC4B3E9823}">
  <dimension ref="A1:B15"/>
  <sheetViews>
    <sheetView workbookViewId="0">
      <selection activeCell="D7" sqref="D7:D8"/>
    </sheetView>
  </sheetViews>
  <sheetFormatPr defaultRowHeight="15" x14ac:dyDescent="0.25"/>
  <cols>
    <col min="1" max="1" width="17" bestFit="1" customWidth="1"/>
    <col min="2" max="2" width="21.85546875" bestFit="1" customWidth="1"/>
  </cols>
  <sheetData>
    <row r="1" spans="1:2" x14ac:dyDescent="0.25">
      <c r="A1" s="8" t="s">
        <v>168</v>
      </c>
      <c r="B1" s="5" t="s">
        <v>198</v>
      </c>
    </row>
    <row r="3" spans="1:2" x14ac:dyDescent="0.25">
      <c r="A3" s="8" t="s">
        <v>194</v>
      </c>
      <c r="B3" t="s">
        <v>197</v>
      </c>
    </row>
    <row r="4" spans="1:2" x14ac:dyDescent="0.25">
      <c r="A4" s="9" t="s">
        <v>16</v>
      </c>
      <c r="B4" s="11">
        <v>19</v>
      </c>
    </row>
    <row r="5" spans="1:2" x14ac:dyDescent="0.25">
      <c r="A5" s="10" t="s">
        <v>171</v>
      </c>
      <c r="B5" s="11">
        <v>3</v>
      </c>
    </row>
    <row r="6" spans="1:2" x14ac:dyDescent="0.25">
      <c r="A6" s="10" t="s">
        <v>174</v>
      </c>
      <c r="B6" s="11">
        <v>16</v>
      </c>
    </row>
    <row r="7" spans="1:2" x14ac:dyDescent="0.25">
      <c r="A7" s="9" t="s">
        <v>21</v>
      </c>
      <c r="B7" s="11">
        <v>17</v>
      </c>
    </row>
    <row r="8" spans="1:2" x14ac:dyDescent="0.25">
      <c r="A8" s="10" t="s">
        <v>171</v>
      </c>
      <c r="B8" s="11">
        <v>13</v>
      </c>
    </row>
    <row r="9" spans="1:2" x14ac:dyDescent="0.25">
      <c r="A9" s="10" t="s">
        <v>174</v>
      </c>
      <c r="B9" s="11">
        <v>4</v>
      </c>
    </row>
    <row r="10" spans="1:2" x14ac:dyDescent="0.25">
      <c r="A10" s="9" t="s">
        <v>53</v>
      </c>
      <c r="B10" s="11">
        <v>4</v>
      </c>
    </row>
    <row r="11" spans="1:2" x14ac:dyDescent="0.25">
      <c r="A11" s="10" t="s">
        <v>171</v>
      </c>
      <c r="B11" s="11">
        <v>3</v>
      </c>
    </row>
    <row r="12" spans="1:2" x14ac:dyDescent="0.25">
      <c r="A12" s="10" t="s">
        <v>174</v>
      </c>
      <c r="B12" s="11">
        <v>1</v>
      </c>
    </row>
    <row r="13" spans="1:2" x14ac:dyDescent="0.25">
      <c r="A13" s="9" t="s">
        <v>195</v>
      </c>
      <c r="B13" s="11"/>
    </row>
    <row r="14" spans="1:2" x14ac:dyDescent="0.25">
      <c r="A14" s="10" t="s">
        <v>195</v>
      </c>
      <c r="B14" s="11"/>
    </row>
    <row r="15" spans="1:2" x14ac:dyDescent="0.25">
      <c r="A15" s="9" t="s">
        <v>196</v>
      </c>
      <c r="B15" s="11">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3922-DB91-41B0-A457-4961400DE15A}">
  <dimension ref="A1:N51"/>
  <sheetViews>
    <sheetView tabSelected="1" workbookViewId="0">
      <selection activeCell="I57" sqref="I57"/>
    </sheetView>
  </sheetViews>
  <sheetFormatPr defaultRowHeight="15" x14ac:dyDescent="0.25"/>
  <cols>
    <col min="1" max="1" width="10.28515625" customWidth="1"/>
    <col min="2" max="2" width="7.85546875" customWidth="1"/>
    <col min="3" max="3" width="16.140625" bestFit="1" customWidth="1"/>
    <col min="4" max="4" width="16.140625" customWidth="1"/>
    <col min="5" max="5" width="10.42578125" bestFit="1" customWidth="1"/>
    <col min="6" max="6" width="9.140625" customWidth="1"/>
    <col min="7" max="7" width="14" bestFit="1" customWidth="1"/>
    <col min="8" max="8" width="20" bestFit="1" customWidth="1"/>
    <col min="9" max="9" width="13" bestFit="1" customWidth="1"/>
    <col min="10" max="11" width="25.7109375" customWidth="1"/>
    <col min="12" max="12" width="6.28515625" customWidth="1"/>
    <col min="13" max="13" width="23.5703125" customWidth="1"/>
  </cols>
  <sheetData>
    <row r="1" spans="1:14" x14ac:dyDescent="0.25">
      <c r="A1" t="s">
        <v>0</v>
      </c>
      <c r="B1" t="s">
        <v>1</v>
      </c>
      <c r="C1" t="s">
        <v>2</v>
      </c>
      <c r="D1" t="s">
        <v>3</v>
      </c>
      <c r="E1" t="s">
        <v>4</v>
      </c>
      <c r="F1" t="s">
        <v>5</v>
      </c>
      <c r="G1" t="s">
        <v>6</v>
      </c>
      <c r="H1" t="s">
        <v>7</v>
      </c>
      <c r="I1" t="s">
        <v>8</v>
      </c>
      <c r="J1" t="s">
        <v>9</v>
      </c>
      <c r="K1" t="s">
        <v>10</v>
      </c>
      <c r="L1" t="s">
        <v>11</v>
      </c>
      <c r="M1" t="s">
        <v>168</v>
      </c>
      <c r="N1" t="s">
        <v>169</v>
      </c>
    </row>
    <row r="2" spans="1:14" x14ac:dyDescent="0.25">
      <c r="A2" t="s">
        <v>137</v>
      </c>
      <c r="B2">
        <v>2997349</v>
      </c>
      <c r="C2" t="s">
        <v>165</v>
      </c>
      <c r="D2" t="s">
        <v>14</v>
      </c>
      <c r="E2" s="1">
        <v>45997</v>
      </c>
      <c r="F2" t="s">
        <v>15</v>
      </c>
      <c r="G2" s="3" t="s">
        <v>21</v>
      </c>
      <c r="H2" t="s">
        <v>21</v>
      </c>
      <c r="I2" t="s">
        <v>17</v>
      </c>
      <c r="J2" t="s">
        <v>166</v>
      </c>
      <c r="K2" t="s">
        <v>167</v>
      </c>
      <c r="L2" s="2">
        <v>4804295</v>
      </c>
      <c r="M2" t="s">
        <v>170</v>
      </c>
      <c r="N2" t="s">
        <v>171</v>
      </c>
    </row>
    <row r="3" spans="1:14" x14ac:dyDescent="0.25">
      <c r="A3" t="s">
        <v>137</v>
      </c>
      <c r="B3">
        <v>2997360</v>
      </c>
      <c r="C3" t="s">
        <v>162</v>
      </c>
      <c r="D3" t="s">
        <v>14</v>
      </c>
      <c r="E3" s="1">
        <v>45997</v>
      </c>
      <c r="F3" t="s">
        <v>15</v>
      </c>
      <c r="G3" s="7" t="s">
        <v>53</v>
      </c>
      <c r="H3" t="s">
        <v>16</v>
      </c>
      <c r="I3" t="s">
        <v>54</v>
      </c>
      <c r="J3" t="s">
        <v>163</v>
      </c>
      <c r="K3" t="s">
        <v>164</v>
      </c>
      <c r="L3" s="2">
        <v>620475</v>
      </c>
      <c r="M3" t="s">
        <v>172</v>
      </c>
      <c r="N3" t="s">
        <v>171</v>
      </c>
    </row>
    <row r="4" spans="1:14" x14ac:dyDescent="0.25">
      <c r="A4" t="s">
        <v>137</v>
      </c>
      <c r="B4">
        <v>2997362</v>
      </c>
      <c r="C4" t="s">
        <v>159</v>
      </c>
      <c r="D4" t="s">
        <v>14</v>
      </c>
      <c r="E4" s="1">
        <v>45997</v>
      </c>
      <c r="F4" t="s">
        <v>15</v>
      </c>
      <c r="G4" s="4" t="s">
        <v>53</v>
      </c>
      <c r="H4" t="s">
        <v>21</v>
      </c>
      <c r="I4" t="s">
        <v>54</v>
      </c>
      <c r="J4" t="s">
        <v>160</v>
      </c>
      <c r="K4" t="s">
        <v>161</v>
      </c>
      <c r="L4" s="2">
        <v>95461</v>
      </c>
      <c r="M4" t="s">
        <v>173</v>
      </c>
      <c r="N4" s="5" t="s">
        <v>174</v>
      </c>
    </row>
    <row r="5" spans="1:14" x14ac:dyDescent="0.25">
      <c r="A5" t="s">
        <v>137</v>
      </c>
      <c r="B5">
        <v>2997389</v>
      </c>
      <c r="C5" t="s">
        <v>156</v>
      </c>
      <c r="D5" t="s">
        <v>14</v>
      </c>
      <c r="E5" s="1">
        <v>45997</v>
      </c>
      <c r="F5" t="s">
        <v>15</v>
      </c>
      <c r="G5" s="4" t="s">
        <v>16</v>
      </c>
      <c r="H5" t="s">
        <v>16</v>
      </c>
      <c r="I5" t="s">
        <v>17</v>
      </c>
      <c r="J5" t="s">
        <v>157</v>
      </c>
      <c r="K5" t="s">
        <v>158</v>
      </c>
      <c r="L5" s="2">
        <v>165645</v>
      </c>
      <c r="M5" t="s">
        <v>175</v>
      </c>
      <c r="N5" s="5" t="s">
        <v>174</v>
      </c>
    </row>
    <row r="6" spans="1:14" x14ac:dyDescent="0.25">
      <c r="A6" t="s">
        <v>137</v>
      </c>
      <c r="B6">
        <v>2997406</v>
      </c>
      <c r="C6" t="s">
        <v>153</v>
      </c>
      <c r="D6" t="s">
        <v>14</v>
      </c>
      <c r="E6" s="1">
        <v>45998</v>
      </c>
      <c r="F6" t="s">
        <v>15</v>
      </c>
      <c r="G6" s="3" t="s">
        <v>16</v>
      </c>
      <c r="H6" t="s">
        <v>16</v>
      </c>
      <c r="I6" t="s">
        <v>17</v>
      </c>
      <c r="J6" t="s">
        <v>154</v>
      </c>
      <c r="K6" t="s">
        <v>155</v>
      </c>
      <c r="L6" s="2">
        <v>3093835</v>
      </c>
      <c r="M6" t="s">
        <v>189</v>
      </c>
      <c r="N6" s="5" t="s">
        <v>171</v>
      </c>
    </row>
    <row r="7" spans="1:14" x14ac:dyDescent="0.25">
      <c r="A7" t="s">
        <v>137</v>
      </c>
      <c r="B7">
        <v>2997407</v>
      </c>
      <c r="C7" t="s">
        <v>150</v>
      </c>
      <c r="D7" t="s">
        <v>14</v>
      </c>
      <c r="E7" s="1">
        <v>45998</v>
      </c>
      <c r="F7" t="s">
        <v>15</v>
      </c>
      <c r="G7" s="3" t="s">
        <v>21</v>
      </c>
      <c r="H7" t="s">
        <v>21</v>
      </c>
      <c r="I7" t="s">
        <v>17</v>
      </c>
      <c r="J7" t="s">
        <v>151</v>
      </c>
      <c r="K7" t="s">
        <v>152</v>
      </c>
      <c r="L7" s="2">
        <v>1728355</v>
      </c>
      <c r="M7" t="s">
        <v>176</v>
      </c>
      <c r="N7" s="5" t="s">
        <v>171</v>
      </c>
    </row>
    <row r="8" spans="1:14" x14ac:dyDescent="0.25">
      <c r="A8" t="s">
        <v>137</v>
      </c>
      <c r="B8">
        <v>2997412</v>
      </c>
      <c r="C8" t="s">
        <v>147</v>
      </c>
      <c r="D8" t="s">
        <v>14</v>
      </c>
      <c r="E8" s="1">
        <v>45998</v>
      </c>
      <c r="F8" t="s">
        <v>15</v>
      </c>
      <c r="G8" s="3" t="s">
        <v>21</v>
      </c>
      <c r="H8" t="s">
        <v>21</v>
      </c>
      <c r="I8" t="s">
        <v>17</v>
      </c>
      <c r="J8" t="s">
        <v>148</v>
      </c>
      <c r="K8" t="s">
        <v>149</v>
      </c>
      <c r="L8" s="2">
        <v>233599</v>
      </c>
      <c r="M8" t="s">
        <v>177</v>
      </c>
      <c r="N8" s="5" t="s">
        <v>171</v>
      </c>
    </row>
    <row r="9" spans="1:14" x14ac:dyDescent="0.25">
      <c r="A9" t="s">
        <v>137</v>
      </c>
      <c r="B9">
        <v>2998649</v>
      </c>
      <c r="C9" t="s">
        <v>144</v>
      </c>
      <c r="D9" t="s">
        <v>14</v>
      </c>
      <c r="E9" s="1">
        <v>45999</v>
      </c>
      <c r="F9" t="s">
        <v>15</v>
      </c>
      <c r="G9" s="4" t="s">
        <v>16</v>
      </c>
      <c r="H9" t="s">
        <v>16</v>
      </c>
      <c r="I9" t="s">
        <v>17</v>
      </c>
      <c r="J9" t="s">
        <v>145</v>
      </c>
      <c r="K9" t="s">
        <v>146</v>
      </c>
      <c r="L9" s="2">
        <v>1176965</v>
      </c>
      <c r="M9" t="s">
        <v>178</v>
      </c>
      <c r="N9" s="5" t="s">
        <v>174</v>
      </c>
    </row>
    <row r="10" spans="1:14" x14ac:dyDescent="0.25">
      <c r="A10" t="s">
        <v>137</v>
      </c>
      <c r="B10">
        <v>2998854</v>
      </c>
      <c r="C10" t="s">
        <v>141</v>
      </c>
      <c r="D10" t="s">
        <v>14</v>
      </c>
      <c r="E10" s="1">
        <v>45999</v>
      </c>
      <c r="F10" t="s">
        <v>15</v>
      </c>
      <c r="G10" s="3" t="s">
        <v>21</v>
      </c>
      <c r="H10" t="s">
        <v>21</v>
      </c>
      <c r="I10" t="s">
        <v>17</v>
      </c>
      <c r="J10" t="s">
        <v>142</v>
      </c>
      <c r="K10" t="s">
        <v>143</v>
      </c>
      <c r="L10" s="2">
        <v>60139</v>
      </c>
      <c r="M10" t="s">
        <v>179</v>
      </c>
      <c r="N10" s="5" t="s">
        <v>171</v>
      </c>
    </row>
    <row r="11" spans="1:14" x14ac:dyDescent="0.25">
      <c r="A11" t="s">
        <v>137</v>
      </c>
      <c r="B11">
        <v>2998856</v>
      </c>
      <c r="C11" t="s">
        <v>138</v>
      </c>
      <c r="D11" t="s">
        <v>14</v>
      </c>
      <c r="E11" s="1">
        <v>45999</v>
      </c>
      <c r="F11" t="s">
        <v>15</v>
      </c>
      <c r="G11" s="7" t="s">
        <v>21</v>
      </c>
      <c r="H11" t="s">
        <v>21</v>
      </c>
      <c r="I11" t="s">
        <v>17</v>
      </c>
      <c r="J11" t="s">
        <v>139</v>
      </c>
      <c r="K11" t="s">
        <v>140</v>
      </c>
      <c r="L11" s="2">
        <v>5.9647E+16</v>
      </c>
      <c r="M11" s="5" t="s">
        <v>172</v>
      </c>
      <c r="N11" s="5" t="s">
        <v>171</v>
      </c>
    </row>
    <row r="12" spans="1:14" x14ac:dyDescent="0.25">
      <c r="A12" t="s">
        <v>106</v>
      </c>
      <c r="B12">
        <v>2999322</v>
      </c>
      <c r="C12" t="s">
        <v>127</v>
      </c>
      <c r="D12" t="s">
        <v>14</v>
      </c>
      <c r="E12" s="1">
        <v>46000</v>
      </c>
      <c r="F12" t="s">
        <v>15</v>
      </c>
      <c r="G12" s="3" t="s">
        <v>21</v>
      </c>
      <c r="H12" t="s">
        <v>21</v>
      </c>
      <c r="I12" t="s">
        <v>17</v>
      </c>
      <c r="J12" t="s">
        <v>128</v>
      </c>
      <c r="K12" t="s">
        <v>129</v>
      </c>
      <c r="L12" t="s">
        <v>130</v>
      </c>
      <c r="M12" t="s">
        <v>177</v>
      </c>
      <c r="N12" s="5" t="s">
        <v>171</v>
      </c>
    </row>
    <row r="13" spans="1:14" x14ac:dyDescent="0.25">
      <c r="A13" t="s">
        <v>106</v>
      </c>
      <c r="B13">
        <v>2999548</v>
      </c>
      <c r="C13" t="s">
        <v>131</v>
      </c>
      <c r="D13" t="s">
        <v>14</v>
      </c>
      <c r="E13" s="1">
        <v>46000</v>
      </c>
      <c r="F13" t="s">
        <v>15</v>
      </c>
      <c r="G13" s="4" t="s">
        <v>21</v>
      </c>
      <c r="H13" t="s">
        <v>21</v>
      </c>
      <c r="I13" t="s">
        <v>17</v>
      </c>
      <c r="J13" t="s">
        <v>132</v>
      </c>
      <c r="K13" t="s">
        <v>133</v>
      </c>
      <c r="L13" s="2">
        <v>831705</v>
      </c>
      <c r="M13" t="s">
        <v>190</v>
      </c>
      <c r="N13" s="5" t="s">
        <v>174</v>
      </c>
    </row>
    <row r="14" spans="1:14" x14ac:dyDescent="0.25">
      <c r="A14" t="s">
        <v>106</v>
      </c>
      <c r="B14">
        <v>2999714</v>
      </c>
      <c r="C14" t="s">
        <v>124</v>
      </c>
      <c r="D14" t="s">
        <v>14</v>
      </c>
      <c r="E14" s="1">
        <v>46000</v>
      </c>
      <c r="F14" t="s">
        <v>15</v>
      </c>
      <c r="G14" s="3" t="s">
        <v>21</v>
      </c>
      <c r="H14" t="s">
        <v>21</v>
      </c>
      <c r="I14" t="s">
        <v>17</v>
      </c>
      <c r="J14" t="s">
        <v>125</v>
      </c>
      <c r="K14" t="s">
        <v>126</v>
      </c>
      <c r="L14" s="2">
        <v>878977</v>
      </c>
      <c r="M14" s="5" t="s">
        <v>173</v>
      </c>
      <c r="N14" s="5" t="s">
        <v>171</v>
      </c>
    </row>
    <row r="15" spans="1:14" x14ac:dyDescent="0.25">
      <c r="A15" t="s">
        <v>106</v>
      </c>
      <c r="B15">
        <v>2999755</v>
      </c>
      <c r="C15" t="s">
        <v>134</v>
      </c>
      <c r="D15" t="s">
        <v>14</v>
      </c>
      <c r="E15" s="1">
        <v>46000</v>
      </c>
      <c r="F15" t="s">
        <v>15</v>
      </c>
      <c r="G15" s="7" t="s">
        <v>16</v>
      </c>
      <c r="H15" t="s">
        <v>16</v>
      </c>
      <c r="I15" t="s">
        <v>17</v>
      </c>
      <c r="J15" t="s">
        <v>135</v>
      </c>
      <c r="K15" t="s">
        <v>136</v>
      </c>
      <c r="L15" s="2">
        <v>1050315</v>
      </c>
      <c r="M15" s="5" t="s">
        <v>172</v>
      </c>
      <c r="N15" s="5" t="s">
        <v>171</v>
      </c>
    </row>
    <row r="16" spans="1:14" x14ac:dyDescent="0.25">
      <c r="A16" t="s">
        <v>106</v>
      </c>
      <c r="B16">
        <v>3000716</v>
      </c>
      <c r="C16" t="s">
        <v>122</v>
      </c>
      <c r="D16" t="s">
        <v>14</v>
      </c>
      <c r="E16" s="1">
        <v>46001</v>
      </c>
      <c r="F16" t="s">
        <v>15</v>
      </c>
      <c r="G16" s="7" t="s">
        <v>16</v>
      </c>
      <c r="H16" t="s">
        <v>16</v>
      </c>
      <c r="I16" t="s">
        <v>17</v>
      </c>
      <c r="J16" t="s">
        <v>123</v>
      </c>
      <c r="K16" t="s">
        <v>32</v>
      </c>
      <c r="L16" s="2">
        <v>101791</v>
      </c>
      <c r="M16" s="5" t="s">
        <v>172</v>
      </c>
      <c r="N16" s="5" t="s">
        <v>171</v>
      </c>
    </row>
    <row r="17" spans="1:14" x14ac:dyDescent="0.25">
      <c r="A17" t="s">
        <v>106</v>
      </c>
      <c r="B17">
        <v>3000775</v>
      </c>
      <c r="C17" t="s">
        <v>119</v>
      </c>
      <c r="D17" t="s">
        <v>14</v>
      </c>
      <c r="E17" s="1">
        <v>46001</v>
      </c>
      <c r="F17" t="s">
        <v>15</v>
      </c>
      <c r="G17" s="4" t="s">
        <v>16</v>
      </c>
      <c r="H17" t="s">
        <v>16</v>
      </c>
      <c r="I17" t="s">
        <v>17</v>
      </c>
      <c r="J17" t="s">
        <v>120</v>
      </c>
      <c r="K17" t="s">
        <v>121</v>
      </c>
      <c r="L17" s="2">
        <v>5.137E+16</v>
      </c>
      <c r="N17" s="5" t="s">
        <v>174</v>
      </c>
    </row>
    <row r="18" spans="1:14" x14ac:dyDescent="0.25">
      <c r="A18" t="s">
        <v>106</v>
      </c>
      <c r="B18">
        <v>3000802</v>
      </c>
      <c r="C18" t="s">
        <v>116</v>
      </c>
      <c r="D18" t="s">
        <v>14</v>
      </c>
      <c r="E18" s="1">
        <v>46001</v>
      </c>
      <c r="F18" t="s">
        <v>15</v>
      </c>
      <c r="G18" s="4" t="s">
        <v>16</v>
      </c>
      <c r="H18" t="s">
        <v>16</v>
      </c>
      <c r="I18" t="s">
        <v>17</v>
      </c>
      <c r="J18" t="s">
        <v>117</v>
      </c>
      <c r="K18" t="s">
        <v>118</v>
      </c>
      <c r="L18" s="2">
        <v>1179865</v>
      </c>
      <c r="N18" s="5" t="s">
        <v>174</v>
      </c>
    </row>
    <row r="19" spans="1:14" x14ac:dyDescent="0.25">
      <c r="A19" t="s">
        <v>106</v>
      </c>
      <c r="B19">
        <v>3000917</v>
      </c>
      <c r="C19" t="s">
        <v>113</v>
      </c>
      <c r="D19" t="s">
        <v>14</v>
      </c>
      <c r="E19" s="1">
        <v>46001</v>
      </c>
      <c r="F19" t="s">
        <v>15</v>
      </c>
      <c r="G19" s="7" t="s">
        <v>16</v>
      </c>
      <c r="H19" t="s">
        <v>16</v>
      </c>
      <c r="I19" t="s">
        <v>17</v>
      </c>
      <c r="J19" t="s">
        <v>114</v>
      </c>
      <c r="K19" t="s">
        <v>115</v>
      </c>
      <c r="L19" s="2">
        <v>47881</v>
      </c>
      <c r="M19" s="5" t="s">
        <v>172</v>
      </c>
      <c r="N19" s="5" t="s">
        <v>171</v>
      </c>
    </row>
    <row r="20" spans="1:14" x14ac:dyDescent="0.25">
      <c r="A20" t="s">
        <v>106</v>
      </c>
      <c r="B20">
        <v>3001034</v>
      </c>
      <c r="C20" t="s">
        <v>110</v>
      </c>
      <c r="D20" t="s">
        <v>14</v>
      </c>
      <c r="E20" s="1">
        <v>46001</v>
      </c>
      <c r="F20" t="s">
        <v>15</v>
      </c>
      <c r="G20" s="4" t="s">
        <v>16</v>
      </c>
      <c r="H20" t="s">
        <v>16</v>
      </c>
      <c r="I20" t="s">
        <v>17</v>
      </c>
      <c r="J20" t="s">
        <v>111</v>
      </c>
      <c r="K20" t="s">
        <v>112</v>
      </c>
      <c r="L20" s="2">
        <v>9745349999999990</v>
      </c>
      <c r="N20" s="5" t="s">
        <v>174</v>
      </c>
    </row>
    <row r="21" spans="1:14" x14ac:dyDescent="0.25">
      <c r="A21" t="s">
        <v>106</v>
      </c>
      <c r="B21">
        <v>3001438</v>
      </c>
      <c r="C21" t="s">
        <v>107</v>
      </c>
      <c r="D21" t="s">
        <v>14</v>
      </c>
      <c r="E21" s="1">
        <v>46001</v>
      </c>
      <c r="F21" t="s">
        <v>15</v>
      </c>
      <c r="G21" s="3" t="s">
        <v>21</v>
      </c>
      <c r="H21" t="s">
        <v>21</v>
      </c>
      <c r="I21" t="s">
        <v>17</v>
      </c>
      <c r="J21" t="s">
        <v>108</v>
      </c>
      <c r="K21" t="s">
        <v>109</v>
      </c>
      <c r="L21" s="2">
        <v>4.08953E+16</v>
      </c>
      <c r="M21" t="s">
        <v>180</v>
      </c>
      <c r="N21" s="5" t="s">
        <v>171</v>
      </c>
    </row>
    <row r="22" spans="1:14" x14ac:dyDescent="0.25">
      <c r="A22" t="s">
        <v>79</v>
      </c>
      <c r="B22">
        <v>3002525</v>
      </c>
      <c r="C22" t="s">
        <v>96</v>
      </c>
      <c r="D22" t="s">
        <v>14</v>
      </c>
      <c r="E22" s="1">
        <v>46003</v>
      </c>
      <c r="F22" t="s">
        <v>15</v>
      </c>
      <c r="G22" s="7" t="s">
        <v>16</v>
      </c>
      <c r="H22" t="s">
        <v>16</v>
      </c>
      <c r="I22" t="s">
        <v>17</v>
      </c>
      <c r="J22" t="s">
        <v>97</v>
      </c>
      <c r="K22" t="s">
        <v>32</v>
      </c>
      <c r="L22" s="2">
        <v>2177005</v>
      </c>
      <c r="M22" s="5" t="s">
        <v>172</v>
      </c>
      <c r="N22" s="5" t="s">
        <v>171</v>
      </c>
    </row>
    <row r="23" spans="1:14" x14ac:dyDescent="0.25">
      <c r="A23" t="s">
        <v>79</v>
      </c>
      <c r="B23">
        <v>3002636</v>
      </c>
      <c r="C23" t="s">
        <v>98</v>
      </c>
      <c r="D23" t="s">
        <v>14</v>
      </c>
      <c r="E23" s="1">
        <v>46003</v>
      </c>
      <c r="F23" t="s">
        <v>15</v>
      </c>
      <c r="G23" s="4" t="s">
        <v>16</v>
      </c>
      <c r="H23" t="s">
        <v>16</v>
      </c>
      <c r="I23" t="s">
        <v>17</v>
      </c>
      <c r="J23" t="s">
        <v>99</v>
      </c>
      <c r="K23" t="s">
        <v>100</v>
      </c>
      <c r="L23" s="2">
        <v>405695</v>
      </c>
      <c r="M23" t="s">
        <v>181</v>
      </c>
      <c r="N23" s="5" t="s">
        <v>174</v>
      </c>
    </row>
    <row r="24" spans="1:14" x14ac:dyDescent="0.25">
      <c r="A24" t="s">
        <v>79</v>
      </c>
      <c r="B24">
        <v>3002707</v>
      </c>
      <c r="C24" t="s">
        <v>101</v>
      </c>
      <c r="D24" t="s">
        <v>14</v>
      </c>
      <c r="E24" s="1">
        <v>46003</v>
      </c>
      <c r="F24" t="s">
        <v>15</v>
      </c>
      <c r="G24" s="4" t="s">
        <v>16</v>
      </c>
      <c r="H24" t="s">
        <v>16</v>
      </c>
      <c r="I24" t="s">
        <v>17</v>
      </c>
      <c r="J24" t="s">
        <v>102</v>
      </c>
      <c r="K24" t="s">
        <v>56</v>
      </c>
      <c r="L24" t="s">
        <v>103</v>
      </c>
      <c r="N24" s="5" t="s">
        <v>174</v>
      </c>
    </row>
    <row r="25" spans="1:14" x14ac:dyDescent="0.25">
      <c r="A25" t="s">
        <v>79</v>
      </c>
      <c r="B25">
        <v>3002902</v>
      </c>
      <c r="C25" t="s">
        <v>93</v>
      </c>
      <c r="D25" t="s">
        <v>14</v>
      </c>
      <c r="E25" s="1">
        <v>46003</v>
      </c>
      <c r="F25" t="s">
        <v>15</v>
      </c>
      <c r="G25" s="3" t="s">
        <v>53</v>
      </c>
      <c r="H25" t="s">
        <v>16</v>
      </c>
      <c r="I25" t="s">
        <v>54</v>
      </c>
      <c r="J25" t="s">
        <v>94</v>
      </c>
      <c r="K25" t="s">
        <v>95</v>
      </c>
      <c r="L25" s="2">
        <v>1.07340499999999E+16</v>
      </c>
      <c r="M25" t="s">
        <v>182</v>
      </c>
      <c r="N25" s="5" t="s">
        <v>171</v>
      </c>
    </row>
    <row r="26" spans="1:14" x14ac:dyDescent="0.25">
      <c r="A26" t="s">
        <v>79</v>
      </c>
      <c r="B26">
        <v>3003090</v>
      </c>
      <c r="C26" t="s">
        <v>104</v>
      </c>
      <c r="D26" t="s">
        <v>14</v>
      </c>
      <c r="E26" s="1">
        <v>46003</v>
      </c>
      <c r="F26" t="s">
        <v>15</v>
      </c>
      <c r="G26" s="4" t="s">
        <v>16</v>
      </c>
      <c r="H26" t="s">
        <v>16</v>
      </c>
      <c r="I26" t="s">
        <v>17</v>
      </c>
      <c r="J26" t="s">
        <v>105</v>
      </c>
      <c r="K26" t="s">
        <v>56</v>
      </c>
      <c r="L26" s="2">
        <v>172857</v>
      </c>
      <c r="M26" t="s">
        <v>183</v>
      </c>
      <c r="N26" s="5" t="s">
        <v>174</v>
      </c>
    </row>
    <row r="27" spans="1:14" x14ac:dyDescent="0.25">
      <c r="A27" t="s">
        <v>79</v>
      </c>
      <c r="B27">
        <v>3003234</v>
      </c>
      <c r="C27" t="s">
        <v>90</v>
      </c>
      <c r="D27" t="s">
        <v>14</v>
      </c>
      <c r="E27" s="1">
        <v>46004</v>
      </c>
      <c r="F27" t="s">
        <v>15</v>
      </c>
      <c r="G27" s="3" t="s">
        <v>21</v>
      </c>
      <c r="H27" t="s">
        <v>21</v>
      </c>
      <c r="I27" t="s">
        <v>17</v>
      </c>
      <c r="J27" t="s">
        <v>91</v>
      </c>
      <c r="K27" t="s">
        <v>92</v>
      </c>
      <c r="L27" s="2">
        <v>1.105525E+16</v>
      </c>
      <c r="M27" t="s">
        <v>177</v>
      </c>
      <c r="N27" s="5" t="s">
        <v>171</v>
      </c>
    </row>
    <row r="28" spans="1:14" x14ac:dyDescent="0.25">
      <c r="A28" t="s">
        <v>79</v>
      </c>
      <c r="B28">
        <v>3003235</v>
      </c>
      <c r="C28" t="s">
        <v>88</v>
      </c>
      <c r="D28" t="s">
        <v>14</v>
      </c>
      <c r="E28" s="1">
        <v>46004</v>
      </c>
      <c r="F28" t="s">
        <v>15</v>
      </c>
      <c r="G28" s="3" t="s">
        <v>21</v>
      </c>
      <c r="H28" t="s">
        <v>21</v>
      </c>
      <c r="I28" t="s">
        <v>17</v>
      </c>
      <c r="J28" t="s">
        <v>89</v>
      </c>
      <c r="K28" t="s">
        <v>63</v>
      </c>
      <c r="L28" s="2">
        <v>8812049999999990</v>
      </c>
      <c r="M28" t="s">
        <v>185</v>
      </c>
      <c r="N28" s="5" t="s">
        <v>171</v>
      </c>
    </row>
    <row r="29" spans="1:14" x14ac:dyDescent="0.25">
      <c r="A29" t="s">
        <v>79</v>
      </c>
      <c r="B29">
        <v>3003238</v>
      </c>
      <c r="C29" t="s">
        <v>85</v>
      </c>
      <c r="D29" t="s">
        <v>14</v>
      </c>
      <c r="E29" s="1">
        <v>46004</v>
      </c>
      <c r="F29" t="s">
        <v>15</v>
      </c>
      <c r="G29" s="3" t="s">
        <v>21</v>
      </c>
      <c r="H29" t="s">
        <v>21</v>
      </c>
      <c r="I29" t="s">
        <v>17</v>
      </c>
      <c r="J29" t="s">
        <v>86</v>
      </c>
      <c r="K29" t="s">
        <v>87</v>
      </c>
      <c r="L29" s="2">
        <v>120458</v>
      </c>
      <c r="M29" t="s">
        <v>186</v>
      </c>
      <c r="N29" s="5" t="s">
        <v>171</v>
      </c>
    </row>
    <row r="30" spans="1:14" x14ac:dyDescent="0.25">
      <c r="A30" t="s">
        <v>79</v>
      </c>
      <c r="B30">
        <v>3003244</v>
      </c>
      <c r="C30" t="s">
        <v>82</v>
      </c>
      <c r="D30" t="s">
        <v>14</v>
      </c>
      <c r="E30" s="1">
        <v>46004</v>
      </c>
      <c r="F30" t="s">
        <v>15</v>
      </c>
      <c r="G30" s="3" t="s">
        <v>21</v>
      </c>
      <c r="H30" t="s">
        <v>21</v>
      </c>
      <c r="I30" t="s">
        <v>17</v>
      </c>
      <c r="J30" t="s">
        <v>83</v>
      </c>
      <c r="K30" t="s">
        <v>84</v>
      </c>
      <c r="L30" s="2">
        <v>184164</v>
      </c>
      <c r="M30" t="s">
        <v>177</v>
      </c>
      <c r="N30" s="5" t="s">
        <v>171</v>
      </c>
    </row>
    <row r="31" spans="1:14" x14ac:dyDescent="0.25">
      <c r="A31" t="s">
        <v>79</v>
      </c>
      <c r="B31">
        <v>3003264</v>
      </c>
      <c r="C31" t="s">
        <v>80</v>
      </c>
      <c r="D31" t="s">
        <v>14</v>
      </c>
      <c r="E31" s="1">
        <v>46004</v>
      </c>
      <c r="F31" t="s">
        <v>15</v>
      </c>
      <c r="G31" s="4" t="s">
        <v>21</v>
      </c>
      <c r="H31" t="s">
        <v>21</v>
      </c>
      <c r="I31" t="s">
        <v>17</v>
      </c>
      <c r="J31" t="s">
        <v>81</v>
      </c>
      <c r="K31" t="s">
        <v>69</v>
      </c>
      <c r="L31" s="2">
        <v>169353</v>
      </c>
      <c r="M31" t="s">
        <v>187</v>
      </c>
      <c r="N31" s="5" t="s">
        <v>174</v>
      </c>
    </row>
    <row r="32" spans="1:14" x14ac:dyDescent="0.25">
      <c r="A32" t="s">
        <v>48</v>
      </c>
      <c r="B32">
        <v>3003433</v>
      </c>
      <c r="C32" t="s">
        <v>73</v>
      </c>
      <c r="D32" t="s">
        <v>14</v>
      </c>
      <c r="E32" s="1">
        <v>46006</v>
      </c>
      <c r="F32" t="s">
        <v>15</v>
      </c>
      <c r="G32" s="4" t="s">
        <v>16</v>
      </c>
      <c r="H32" t="s">
        <v>16</v>
      </c>
      <c r="I32" t="s">
        <v>17</v>
      </c>
      <c r="J32" t="s">
        <v>74</v>
      </c>
      <c r="K32" t="s">
        <v>75</v>
      </c>
      <c r="L32" s="2">
        <v>132277</v>
      </c>
      <c r="N32" s="5" t="s">
        <v>174</v>
      </c>
    </row>
    <row r="33" spans="1:14" x14ac:dyDescent="0.25">
      <c r="A33" t="s">
        <v>48</v>
      </c>
      <c r="B33">
        <v>3003674</v>
      </c>
      <c r="C33" t="s">
        <v>76</v>
      </c>
      <c r="D33" t="s">
        <v>14</v>
      </c>
      <c r="E33" s="1">
        <v>46006</v>
      </c>
      <c r="F33" t="s">
        <v>15</v>
      </c>
      <c r="G33" s="4" t="s">
        <v>16</v>
      </c>
      <c r="H33" t="s">
        <v>16</v>
      </c>
      <c r="I33" t="s">
        <v>17</v>
      </c>
      <c r="J33" t="s">
        <v>77</v>
      </c>
      <c r="K33" t="s">
        <v>78</v>
      </c>
      <c r="L33" s="2">
        <v>34092</v>
      </c>
      <c r="M33" t="s">
        <v>188</v>
      </c>
      <c r="N33" s="5" t="s">
        <v>174</v>
      </c>
    </row>
    <row r="34" spans="1:14" x14ac:dyDescent="0.25">
      <c r="A34" t="s">
        <v>48</v>
      </c>
      <c r="B34">
        <v>3004000</v>
      </c>
      <c r="C34" t="s">
        <v>70</v>
      </c>
      <c r="D34" t="s">
        <v>14</v>
      </c>
      <c r="E34" s="1">
        <v>46006</v>
      </c>
      <c r="F34" t="s">
        <v>15</v>
      </c>
      <c r="G34" s="3" t="s">
        <v>53</v>
      </c>
      <c r="H34" t="s">
        <v>16</v>
      </c>
      <c r="I34" t="s">
        <v>54</v>
      </c>
      <c r="J34" t="s">
        <v>71</v>
      </c>
      <c r="K34" t="s">
        <v>72</v>
      </c>
      <c r="L34" s="2">
        <v>327705</v>
      </c>
      <c r="M34" s="5" t="s">
        <v>188</v>
      </c>
      <c r="N34" s="5" t="s">
        <v>171</v>
      </c>
    </row>
    <row r="35" spans="1:14" x14ac:dyDescent="0.25">
      <c r="A35" t="s">
        <v>48</v>
      </c>
      <c r="B35">
        <v>3007693</v>
      </c>
      <c r="C35" t="s">
        <v>67</v>
      </c>
      <c r="D35" t="s">
        <v>14</v>
      </c>
      <c r="E35" s="1">
        <v>46007</v>
      </c>
      <c r="F35" t="s">
        <v>15</v>
      </c>
      <c r="G35" s="3" t="s">
        <v>16</v>
      </c>
      <c r="H35" t="s">
        <v>16</v>
      </c>
      <c r="I35" t="s">
        <v>17</v>
      </c>
      <c r="J35" t="s">
        <v>68</v>
      </c>
      <c r="K35" t="s">
        <v>69</v>
      </c>
      <c r="L35" s="2">
        <v>1.47154999999999E+16</v>
      </c>
      <c r="M35" t="s">
        <v>191</v>
      </c>
      <c r="N35" s="5" t="s">
        <v>171</v>
      </c>
    </row>
    <row r="36" spans="1:14" x14ac:dyDescent="0.25">
      <c r="A36" t="s">
        <v>48</v>
      </c>
      <c r="B36">
        <v>3007818</v>
      </c>
      <c r="C36" t="s">
        <v>64</v>
      </c>
      <c r="D36" t="s">
        <v>14</v>
      </c>
      <c r="E36" s="1">
        <v>46007</v>
      </c>
      <c r="F36" t="s">
        <v>15</v>
      </c>
      <c r="G36" s="4" t="s">
        <v>16</v>
      </c>
      <c r="H36" t="s">
        <v>16</v>
      </c>
      <c r="I36" t="s">
        <v>17</v>
      </c>
      <c r="J36" t="s">
        <v>65</v>
      </c>
      <c r="K36" t="s">
        <v>66</v>
      </c>
      <c r="L36" s="2">
        <v>49943</v>
      </c>
      <c r="M36" s="5" t="s">
        <v>188</v>
      </c>
      <c r="N36" s="5" t="s">
        <v>174</v>
      </c>
    </row>
    <row r="37" spans="1:14" x14ac:dyDescent="0.25">
      <c r="A37" t="s">
        <v>48</v>
      </c>
      <c r="B37">
        <v>3007972</v>
      </c>
      <c r="C37" t="s">
        <v>61</v>
      </c>
      <c r="D37" t="s">
        <v>14</v>
      </c>
      <c r="E37" s="1">
        <v>46007</v>
      </c>
      <c r="F37" t="s">
        <v>15</v>
      </c>
      <c r="G37" s="3" t="s">
        <v>21</v>
      </c>
      <c r="H37" t="s">
        <v>21</v>
      </c>
      <c r="I37" t="s">
        <v>17</v>
      </c>
      <c r="J37" t="s">
        <v>62</v>
      </c>
      <c r="K37" t="s">
        <v>63</v>
      </c>
      <c r="L37" s="2">
        <v>2.10765E+16</v>
      </c>
      <c r="M37" t="s">
        <v>177</v>
      </c>
      <c r="N37" s="5" t="s">
        <v>171</v>
      </c>
    </row>
    <row r="38" spans="1:14" x14ac:dyDescent="0.25">
      <c r="A38" t="s">
        <v>48</v>
      </c>
      <c r="B38">
        <v>3008071</v>
      </c>
      <c r="C38" t="s">
        <v>59</v>
      </c>
      <c r="D38" t="s">
        <v>14</v>
      </c>
      <c r="E38" s="1">
        <v>46007</v>
      </c>
      <c r="F38" t="s">
        <v>15</v>
      </c>
      <c r="G38" s="3" t="s">
        <v>16</v>
      </c>
      <c r="H38" t="s">
        <v>16</v>
      </c>
      <c r="I38" t="s">
        <v>17</v>
      </c>
      <c r="J38" t="s">
        <v>60</v>
      </c>
      <c r="K38" t="s">
        <v>56</v>
      </c>
      <c r="L38" s="2">
        <v>2962375</v>
      </c>
      <c r="M38" t="s">
        <v>192</v>
      </c>
      <c r="N38" s="5" t="s">
        <v>171</v>
      </c>
    </row>
    <row r="39" spans="1:14" x14ac:dyDescent="0.25">
      <c r="A39" t="s">
        <v>48</v>
      </c>
      <c r="B39">
        <v>3008294</v>
      </c>
      <c r="C39" t="s">
        <v>57</v>
      </c>
      <c r="D39" t="s">
        <v>14</v>
      </c>
      <c r="E39" s="1">
        <v>46007</v>
      </c>
      <c r="F39" t="s">
        <v>15</v>
      </c>
      <c r="G39" s="7" t="s">
        <v>16</v>
      </c>
      <c r="H39" t="s">
        <v>16</v>
      </c>
      <c r="I39" t="s">
        <v>17</v>
      </c>
      <c r="J39" t="s">
        <v>58</v>
      </c>
      <c r="K39" t="s">
        <v>39</v>
      </c>
      <c r="L39" s="2">
        <v>2.18329999999999E+16</v>
      </c>
      <c r="M39" s="5" t="s">
        <v>172</v>
      </c>
      <c r="N39" s="5" t="s">
        <v>171</v>
      </c>
    </row>
    <row r="40" spans="1:14" x14ac:dyDescent="0.25">
      <c r="A40" t="s">
        <v>48</v>
      </c>
      <c r="B40">
        <v>3008375</v>
      </c>
      <c r="C40" t="s">
        <v>52</v>
      </c>
      <c r="D40" t="s">
        <v>14</v>
      </c>
      <c r="E40" s="1">
        <v>46007</v>
      </c>
      <c r="F40" t="s">
        <v>15</v>
      </c>
      <c r="G40" s="3" t="s">
        <v>53</v>
      </c>
      <c r="H40" t="s">
        <v>16</v>
      </c>
      <c r="I40" t="s">
        <v>54</v>
      </c>
      <c r="J40" t="s">
        <v>55</v>
      </c>
      <c r="K40" t="s">
        <v>56</v>
      </c>
      <c r="L40" s="2">
        <v>5.1724999999999904E+16</v>
      </c>
      <c r="M40" s="5" t="s">
        <v>188</v>
      </c>
      <c r="N40" s="5" t="s">
        <v>171</v>
      </c>
    </row>
    <row r="41" spans="1:14" x14ac:dyDescent="0.25">
      <c r="A41" t="s">
        <v>48</v>
      </c>
      <c r="B41">
        <v>3008478</v>
      </c>
      <c r="C41" t="s">
        <v>49</v>
      </c>
      <c r="D41" t="s">
        <v>14</v>
      </c>
      <c r="E41" s="1">
        <v>46007</v>
      </c>
      <c r="F41" t="s">
        <v>15</v>
      </c>
      <c r="G41" s="3" t="s">
        <v>21</v>
      </c>
      <c r="H41" t="s">
        <v>21</v>
      </c>
      <c r="I41" t="s">
        <v>17</v>
      </c>
      <c r="J41" t="s">
        <v>50</v>
      </c>
      <c r="K41" t="s">
        <v>51</v>
      </c>
      <c r="L41" s="2">
        <v>4086375</v>
      </c>
      <c r="M41" t="s">
        <v>177</v>
      </c>
      <c r="N41" s="5" t="s">
        <v>171</v>
      </c>
    </row>
    <row r="42" spans="1:14" x14ac:dyDescent="0.25">
      <c r="A42" t="s">
        <v>12</v>
      </c>
      <c r="B42">
        <v>3008669</v>
      </c>
      <c r="C42" t="s">
        <v>40</v>
      </c>
      <c r="D42" t="s">
        <v>14</v>
      </c>
      <c r="E42" s="1">
        <v>46008</v>
      </c>
      <c r="F42" t="s">
        <v>15</v>
      </c>
      <c r="G42" s="7" t="s">
        <v>16</v>
      </c>
      <c r="H42" t="s">
        <v>16</v>
      </c>
      <c r="I42" t="s">
        <v>17</v>
      </c>
      <c r="J42" t="s">
        <v>41</v>
      </c>
      <c r="K42" t="s">
        <v>32</v>
      </c>
      <c r="L42" s="2">
        <v>380425</v>
      </c>
      <c r="M42" s="5" t="s">
        <v>172</v>
      </c>
      <c r="N42" s="5" t="s">
        <v>171</v>
      </c>
    </row>
    <row r="43" spans="1:14" x14ac:dyDescent="0.25">
      <c r="A43" t="s">
        <v>12</v>
      </c>
      <c r="B43">
        <v>3008692</v>
      </c>
      <c r="C43" t="s">
        <v>42</v>
      </c>
      <c r="D43" t="s">
        <v>14</v>
      </c>
      <c r="E43" s="1">
        <v>46008</v>
      </c>
      <c r="F43" t="s">
        <v>15</v>
      </c>
      <c r="G43" s="4" t="s">
        <v>21</v>
      </c>
      <c r="H43" t="s">
        <v>21</v>
      </c>
      <c r="I43" t="s">
        <v>17</v>
      </c>
      <c r="J43" t="s">
        <v>43</v>
      </c>
      <c r="K43" t="s">
        <v>44</v>
      </c>
      <c r="L43" s="2">
        <v>1.489295E+16</v>
      </c>
      <c r="M43" t="s">
        <v>192</v>
      </c>
      <c r="N43" s="5" t="s">
        <v>174</v>
      </c>
    </row>
    <row r="44" spans="1:14" x14ac:dyDescent="0.25">
      <c r="A44" t="s">
        <v>12</v>
      </c>
      <c r="B44">
        <v>3008701</v>
      </c>
      <c r="C44" t="s">
        <v>45</v>
      </c>
      <c r="D44" t="s">
        <v>14</v>
      </c>
      <c r="E44" s="1">
        <v>46008</v>
      </c>
      <c r="F44" t="s">
        <v>15</v>
      </c>
      <c r="G44" s="7" t="s">
        <v>16</v>
      </c>
      <c r="H44" t="s">
        <v>16</v>
      </c>
      <c r="I44" t="s">
        <v>17</v>
      </c>
      <c r="J44" t="s">
        <v>46</v>
      </c>
      <c r="K44" t="s">
        <v>47</v>
      </c>
      <c r="L44" s="2">
        <v>3.3846E+16</v>
      </c>
      <c r="M44" s="5" t="s">
        <v>172</v>
      </c>
      <c r="N44" s="5" t="s">
        <v>171</v>
      </c>
    </row>
    <row r="45" spans="1:14" x14ac:dyDescent="0.25">
      <c r="A45" t="s">
        <v>12</v>
      </c>
      <c r="B45">
        <v>3009146</v>
      </c>
      <c r="C45" t="s">
        <v>37</v>
      </c>
      <c r="D45" t="s">
        <v>14</v>
      </c>
      <c r="E45" s="1">
        <v>46008</v>
      </c>
      <c r="F45" t="s">
        <v>15</v>
      </c>
      <c r="G45" s="4" t="s">
        <v>16</v>
      </c>
      <c r="H45" t="s">
        <v>16</v>
      </c>
      <c r="I45" t="s">
        <v>17</v>
      </c>
      <c r="J45" t="s">
        <v>38</v>
      </c>
      <c r="K45" t="s">
        <v>39</v>
      </c>
      <c r="L45" s="2">
        <v>99274</v>
      </c>
      <c r="M45" t="s">
        <v>179</v>
      </c>
      <c r="N45" s="5" t="s">
        <v>174</v>
      </c>
    </row>
    <row r="46" spans="1:14" x14ac:dyDescent="0.25">
      <c r="A46" t="s">
        <v>12</v>
      </c>
      <c r="B46">
        <v>3010455</v>
      </c>
      <c r="C46" t="s">
        <v>33</v>
      </c>
      <c r="D46" t="s">
        <v>14</v>
      </c>
      <c r="E46" s="1">
        <v>46009</v>
      </c>
      <c r="F46" t="s">
        <v>15</v>
      </c>
      <c r="G46" s="4" t="s">
        <v>16</v>
      </c>
      <c r="H46" t="s">
        <v>16</v>
      </c>
      <c r="I46" t="s">
        <v>17</v>
      </c>
      <c r="J46" t="s">
        <v>34</v>
      </c>
      <c r="K46" t="s">
        <v>35</v>
      </c>
      <c r="L46" t="s">
        <v>36</v>
      </c>
      <c r="M46" t="s">
        <v>177</v>
      </c>
      <c r="N46" s="5" t="s">
        <v>174</v>
      </c>
    </row>
    <row r="47" spans="1:14" x14ac:dyDescent="0.25">
      <c r="A47" t="s">
        <v>12</v>
      </c>
      <c r="B47">
        <v>3010631</v>
      </c>
      <c r="C47" t="s">
        <v>30</v>
      </c>
      <c r="D47" t="s">
        <v>14</v>
      </c>
      <c r="E47" s="1">
        <v>46009</v>
      </c>
      <c r="F47" t="s">
        <v>15</v>
      </c>
      <c r="G47" s="4" t="s">
        <v>16</v>
      </c>
      <c r="H47" t="s">
        <v>16</v>
      </c>
      <c r="I47" t="s">
        <v>17</v>
      </c>
      <c r="J47" t="s">
        <v>31</v>
      </c>
      <c r="K47" t="s">
        <v>32</v>
      </c>
      <c r="L47" s="2">
        <v>115716</v>
      </c>
      <c r="M47" t="s">
        <v>188</v>
      </c>
      <c r="N47" s="5" t="s">
        <v>174</v>
      </c>
    </row>
    <row r="48" spans="1:14" x14ac:dyDescent="0.25">
      <c r="A48" t="s">
        <v>12</v>
      </c>
      <c r="B48">
        <v>3010648</v>
      </c>
      <c r="C48" t="s">
        <v>27</v>
      </c>
      <c r="D48" t="s">
        <v>14</v>
      </c>
      <c r="E48" s="1">
        <v>46009</v>
      </c>
      <c r="F48" t="s">
        <v>15</v>
      </c>
      <c r="G48" s="4" t="s">
        <v>16</v>
      </c>
      <c r="H48" t="s">
        <v>16</v>
      </c>
      <c r="I48" t="s">
        <v>17</v>
      </c>
      <c r="J48" t="s">
        <v>28</v>
      </c>
      <c r="K48" t="s">
        <v>29</v>
      </c>
      <c r="L48" s="2">
        <v>1.15994499999999E+16</v>
      </c>
      <c r="M48" t="s">
        <v>177</v>
      </c>
      <c r="N48" s="5" t="s">
        <v>174</v>
      </c>
    </row>
    <row r="49" spans="1:14" x14ac:dyDescent="0.25">
      <c r="A49" t="s">
        <v>12</v>
      </c>
      <c r="B49">
        <v>3010931</v>
      </c>
      <c r="C49" t="s">
        <v>24</v>
      </c>
      <c r="D49" t="s">
        <v>14</v>
      </c>
      <c r="E49" s="1">
        <v>46009</v>
      </c>
      <c r="F49" t="s">
        <v>15</v>
      </c>
      <c r="G49" s="4" t="s">
        <v>16</v>
      </c>
      <c r="H49" t="s">
        <v>16</v>
      </c>
      <c r="I49" t="s">
        <v>17</v>
      </c>
      <c r="J49" t="s">
        <v>25</v>
      </c>
      <c r="K49" t="s">
        <v>26</v>
      </c>
      <c r="L49" s="2">
        <v>8947749999999990</v>
      </c>
      <c r="M49" t="s">
        <v>177</v>
      </c>
      <c r="N49" s="5" t="s">
        <v>174</v>
      </c>
    </row>
    <row r="50" spans="1:14" x14ac:dyDescent="0.25">
      <c r="A50" t="s">
        <v>12</v>
      </c>
      <c r="B50">
        <v>3010988</v>
      </c>
      <c r="C50" t="s">
        <v>20</v>
      </c>
      <c r="D50" t="s">
        <v>14</v>
      </c>
      <c r="E50" s="1">
        <v>46010</v>
      </c>
      <c r="F50" t="s">
        <v>15</v>
      </c>
      <c r="G50" s="4" t="s">
        <v>21</v>
      </c>
      <c r="H50" t="s">
        <v>21</v>
      </c>
      <c r="I50" t="s">
        <v>17</v>
      </c>
      <c r="J50" t="s">
        <v>22</v>
      </c>
      <c r="K50" t="s">
        <v>23</v>
      </c>
      <c r="L50" s="2">
        <v>729815</v>
      </c>
      <c r="M50" t="s">
        <v>193</v>
      </c>
      <c r="N50" s="5" t="s">
        <v>174</v>
      </c>
    </row>
    <row r="51" spans="1:14" x14ac:dyDescent="0.25">
      <c r="A51" t="s">
        <v>12</v>
      </c>
      <c r="B51">
        <v>3011594</v>
      </c>
      <c r="C51" t="s">
        <v>13</v>
      </c>
      <c r="D51" t="s">
        <v>14</v>
      </c>
      <c r="E51" s="1">
        <v>46010</v>
      </c>
      <c r="F51" t="s">
        <v>15</v>
      </c>
      <c r="G51" s="7" t="s">
        <v>16</v>
      </c>
      <c r="H51" t="s">
        <v>16</v>
      </c>
      <c r="I51" t="s">
        <v>17</v>
      </c>
      <c r="J51" t="s">
        <v>18</v>
      </c>
      <c r="K51" t="s">
        <v>19</v>
      </c>
      <c r="L51" s="2">
        <v>24244</v>
      </c>
      <c r="M51" s="5" t="s">
        <v>172</v>
      </c>
      <c r="N51" s="5" t="s">
        <v>171</v>
      </c>
    </row>
  </sheetData>
  <autoFilter ref="A1:N51" xr:uid="{34FF3922-DB91-41B0-A457-4961400DE15A}"/>
  <sortState xmlns:xlrd2="http://schemas.microsoft.com/office/spreadsheetml/2017/richdata2" ref="A2:L51">
    <sortCondition ref="C2:C5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B4A3A-3D0F-4F05-ABBD-8142E62D7A4B}">
  <dimension ref="A2:B11"/>
  <sheetViews>
    <sheetView workbookViewId="0">
      <selection activeCell="B8" sqref="B8"/>
    </sheetView>
  </sheetViews>
  <sheetFormatPr defaultRowHeight="15" x14ac:dyDescent="0.25"/>
  <sheetData>
    <row r="2" spans="1:2" x14ac:dyDescent="0.25">
      <c r="A2" s="6"/>
    </row>
    <row r="3" spans="1:2" x14ac:dyDescent="0.25">
      <c r="A3" s="6" t="s">
        <v>184</v>
      </c>
      <c r="B3" s="5"/>
    </row>
    <row r="4" spans="1:2" x14ac:dyDescent="0.25">
      <c r="A4" s="6"/>
      <c r="B4" s="5"/>
    </row>
    <row r="5" spans="1:2" x14ac:dyDescent="0.25">
      <c r="A5" s="6"/>
      <c r="B5" s="5"/>
    </row>
    <row r="6" spans="1:2" x14ac:dyDescent="0.25">
      <c r="A6" s="6"/>
      <c r="B6" s="5"/>
    </row>
    <row r="7" spans="1:2" x14ac:dyDescent="0.25">
      <c r="A7" s="6"/>
      <c r="B7" s="5"/>
    </row>
    <row r="8" spans="1:2" x14ac:dyDescent="0.25">
      <c r="A8" s="6"/>
      <c r="B8" s="5"/>
    </row>
    <row r="9" spans="1:2" x14ac:dyDescent="0.25">
      <c r="A9" s="6"/>
      <c r="B9" s="5"/>
    </row>
    <row r="10" spans="1:2" x14ac:dyDescent="0.25">
      <c r="A10" s="6"/>
      <c r="B10" s="5"/>
    </row>
    <row r="11" spans="1:2" x14ac:dyDescent="0.25">
      <c r="A11" s="6"/>
      <c r="B1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3</vt:i4>
      </vt:variant>
    </vt:vector>
  </HeadingPairs>
  <TitlesOfParts>
    <vt:vector size="3" baseType="lpstr">
      <vt:lpstr>Blad2</vt:lpstr>
      <vt:lpstr>classificatie_geschiedenis</vt:lpstr>
      <vt:lpstr>Blad1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Gerrit Smits</dc:creator>
  <cp:lastModifiedBy>Gerrit Smits</cp:lastModifiedBy>
  <dcterms:created xsi:type="dcterms:W3CDTF">2026-02-09T18:38:37Z</dcterms:created>
  <dcterms:modified xsi:type="dcterms:W3CDTF">2026-02-09T19:25:50Z</dcterms:modified>
</cp:coreProperties>
</file>
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202300"/>
  <mc:AlternateContent xmlns:mc="http://schemas.openxmlformats.org/markup-compatibility/2006">
    <mc:Choice Requires="x15">
      <x15ac:absPath xmlns:x15ac="http://schemas.microsoft.com/office/spreadsheetml/2010/11/ac" url="https://kemkensnl-my.sharepoint.com/personal/g_smits_wvc_nl/Documents/Gegevens/Data exel/WVC/2026/AI tool factureren/"/>
    </mc:Choice>
  </mc:AlternateContent>
  <xr:revisionPtr revIDLastSave="84" documentId="8_{4AD5BD49-89E5-4E17-AAB6-B717B6A9E402}" xr6:coauthVersionLast="47" xr6:coauthVersionMax="47" xr10:uidLastSave="{22582392-EEAA-4615-ADF6-7AF4CBE05C02}"/>
  <bookViews>
    <workbookView xWindow="-120" yWindow="-120" windowWidth="29040" windowHeight="15720" activeTab="1" xr2:uid="{7EAE86C1-681B-4F1A-8DC3-9A4CE5B16360}"/>
  </bookViews>
  <sheets>
    <sheet name="Blad1" sheetId="2" r:id="rId1"/>
    <sheet name="classificatie_geschiedenis_v2" sheetId="1" r:id="rId2"/>
  </sheets>
  <definedNames>
    <definedName name="_xlnm._FilterDatabase" localSheetId="1" hidden="1">classificatie_geschiedenis_v2!$A$1:$N$41</definedName>
  </definedNames>
  <calcPr calcId="191029"/>
  <pivotCaches>
    <pivotCache cacheId="5" r:id="rId3"/>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9" i="2" l="1"/>
  <c r="B18" i="2"/>
</calcChain>
</file>

<file path=xl/sharedStrings.xml><?xml version="1.0" encoding="utf-8"?>
<sst xmlns="http://schemas.openxmlformats.org/spreadsheetml/2006/main" count="454" uniqueCount="160">
  <si>
    <t>timestamp</t>
  </si>
  <si>
    <t>werkbon_key</t>
  </si>
  <si>
    <t>werkbon_code</t>
  </si>
  <si>
    <t>debiteur</t>
  </si>
  <si>
    <t>datum</t>
  </si>
  <si>
    <t>contract_filename</t>
  </si>
  <si>
    <t>classificatie</t>
  </si>
  <si>
    <t>basis_classificatie</t>
  </si>
  <si>
    <t>confidence</t>
  </si>
  <si>
    <t>toelichting</t>
  </si>
  <si>
    <t>contract_referentie</t>
  </si>
  <si>
    <t>2026-02-10T16:01:09.004390</t>
  </si>
  <si>
    <t>W2548579</t>
  </si>
  <si>
    <t>005102 - Trivire</t>
  </si>
  <si>
    <t>Trivire_Tablis_rhiant.txt</t>
  </si>
  <si>
    <t>JA</t>
  </si>
  <si>
    <t>90.0</t>
  </si>
  <si>
    <t>De monteur heeft een defecte radiatorkraan/knop in de woonkamer/keuken vervangen. Dit valt binnen het contractbereik, aangezien radiatorkranen en appendages binnen 2 meter van de CV-ketel worden beschouwd als onderdelen binnen de mantel.</t>
  </si>
  <si>
    <t>Rhiant (Alles binnen &lt; 2 m van de ketel binnen contract) - Radiatorkranen en appendages</t>
  </si>
  <si>
    <t>W2548509</t>
  </si>
  <si>
    <t>TWIJFEL</t>
  </si>
  <si>
    <t>70.0</t>
  </si>
  <si>
    <t>De monteur heeft een storing aan de CV-ketel verholpen, wat binnen het contract valt. De omschrijving vermeldt dat de CV en warmwater niet werkten en er regelmatig gereset moest worden. Dit duidt op een probleem binnen de ketelkast, waarvan de reparatie binnen het contract valt.</t>
  </si>
  <si>
    <t>Binnen contract - Storingen aan CV-ketel</t>
  </si>
  <si>
    <t>W2548498</t>
  </si>
  <si>
    <t>De monteur heeft onderdelen binnen de ketelkast vervangen, zoals het expansievat, ontluchter en veiligheidsventiel. Deze onderdelen vallen binnen het contract en worden daarom niet gefactureerd aan de klant.</t>
  </si>
  <si>
    <t>Rhiant (Alles binnen &lt; 2 m van de ketel binnen contract)</t>
  </si>
  <si>
    <t>W2548457</t>
  </si>
  <si>
    <t>100.0</t>
  </si>
  <si>
    <t>De monteur heeft de cv-installatie bijgevuld, wat binnen het onderhoudscontract valt aangezien dit een ketelonderdeel is binnen de 2 meter van de cv-ketel.</t>
  </si>
  <si>
    <t>Artikel 'bijvullen en ontluchten' binnen de 'mantel van de cv-ketel'</t>
  </si>
  <si>
    <t>W2548454</t>
  </si>
  <si>
    <t>De monteur heeft storingen aan de cv-ketel verholpen, wat binnen het contract valt. Hij heeft geen werkzaamheden buiten de ketelkast uitgevoerd.</t>
  </si>
  <si>
    <t>Binnen de mantel van de cv-ketel, binnen contract</t>
  </si>
  <si>
    <t>W2548428</t>
  </si>
  <si>
    <t>De monteur heeft een storing aan de CV-ketel verholpen door een actuator, driewegklep en cartridge te vervangen. Deze onderdelen maken deel uit van de CV-ketel zelf en vallen daarom binnen het servicecontract.</t>
  </si>
  <si>
    <t>Binnen contract: Onderdelen van de CV-ketel zelf (ventilator, gasklep, expansievat, etc.)</t>
  </si>
  <si>
    <t>147.36</t>
  </si>
  <si>
    <t>W2548268</t>
  </si>
  <si>
    <t>NEE</t>
  </si>
  <si>
    <t>De monteur heeft een 'Lekkage onder de ketel' verholpen, wat volgens het contract buiten de mantel van de cv-ketel valt en dus niet binnen het contract is gedekt. De werkzaamheden bestonden uit het vervangen van PVC-onderdelen zoals buizen, sifon en bochten om de lekkage op te lossen.</t>
  </si>
  <si>
    <t>Contract Trivire Tablis rhiant - Lekkage onder de ketel is expliciet uitgesloten</t>
  </si>
  <si>
    <t>W2548204</t>
  </si>
  <si>
    <t>De monteur heeft de storing aan de kamerthermostaat verholpen, wat onder het contract valt. De werkzaamheden zijn uitgevoerd 'binnen de mantel' van de cv-ketel.</t>
  </si>
  <si>
    <t>Volgens het contractartikel 'Kamerthermostaat' valt het vervangen van de batterijen van de kamerthermostaat binnen het contract.</t>
  </si>
  <si>
    <t>W2548207</t>
  </si>
  <si>
    <t>De werkzaamheden hebben betrekking op de vloerverwarming, die volgens het contract buiten de ketelkast (&gt; 2m van de cv-ketel) vallen en daarmee niet onder het contract worden gedekt. De monteur heeft de storing aan de vloerverwarmingsinstallatie verholpen.</t>
  </si>
  <si>
    <t>Vloerverwarming regelingen etc.</t>
  </si>
  <si>
    <t>W2548208</t>
  </si>
  <si>
    <t>De monteur heeft een defecte/lekkende radiatorkraan vervangen. Radiatorkranen en appendages vallen normaal binnen het contract, maar omdat het gaat om een lekkage aan de radiatorkraan, valt dit specifieke geval buiten het contract. Lekkages aan leidingen of radiatoren (buiten 2m van de ketel) worden als buiten contract beschouwd.</t>
  </si>
  <si>
    <t>Radiatorkranen en appendages zijn BINNEN contract (&lt; 2m), maar lekkage aan radiatorkraan is BUITEN contract</t>
  </si>
  <si>
    <t>2026-02-10T16:04:12.453033</t>
  </si>
  <si>
    <t>W2548193</t>
  </si>
  <si>
    <t>De werkzaamheden vallen binnen het contract omdat de monteur de volgende onderdelen binnen de ketelkast (&lt; 2m van de cv-ketel) heeft vervangen: 3-wegklep en circulatiepomp. Deze onderdelen maken deel uit van de cv-ketel zelf en zijn daarom gedekt door het servicecontract.</t>
  </si>
  <si>
    <t>Binnen de mantel van de cv-ketel: Ventilator, gasklep, expansievat, warmtewisselaar, ontstekingselektrode, pakking, printplaat, sensor, drukmeter, ontluchter, pomp van de ketel, waterdrukschakelaar</t>
  </si>
  <si>
    <t>W2548170</t>
  </si>
  <si>
    <t>80.0</t>
  </si>
  <si>
    <t>De monteur heeft een storing aan de CV-installatie verholpen. Omdat de beschrijving geen specifieke locatie vermeldt, ga ik er vanuit dat de werkzaamheden binnen de ketelkast ('binnen de mantel') waren. Dergelijke storingen aan de CV-ketel zelf vallen binnen het contract volgens de contractvoorwaarden.</t>
  </si>
  <si>
    <t>Binnen de mantel van de cv-ketel</t>
  </si>
  <si>
    <t>W2548162</t>
  </si>
  <si>
    <t>De werkbon beschrijft dat er een lekkage was aan de installatie. De monteur heeft onderdelen zoals bochten, koppelingen en buizen vervangen. Dit gebeurde 'binnen de mantel' van de cv-ketel, dus binnen het contract volgens de contractvoorwaarden.</t>
  </si>
  <si>
    <t>W2548129</t>
  </si>
  <si>
    <t>De monteur heeft de storing aan de cv-ketel verholpen, waaruit blijkt dat de werkzaamheden binnen de ketelkast (&lt; 2 meter van de cv-ketel) hebben plaatsgevonden. Aangezien dit onderdelen zijn die binnen het contract vallen, classificeer ik deze werkbon als 'JA' - binnen het contract.</t>
  </si>
  <si>
    <t>Onderdelen binnen de ketelkast vallen onder het contract</t>
  </si>
  <si>
    <t>W2548123</t>
  </si>
  <si>
    <t>De monteur heeft onderdelen binnen de cv-ketel vervangen, zoals de ontstekingstrafo en ontluchter. Dit valt binnen het servicecontract volgens de contractvoorwaarden.</t>
  </si>
  <si>
    <t>Binnen contract: 'binnen de mantel van de cv-ketel'</t>
  </si>
  <si>
    <t>W2548092</t>
  </si>
  <si>
    <t>Uit de werkbonomschrijving blijkt dat de monteur is opgeroepen voor een storing aan de CV-installatie. Dit valt binnen het contract, aangezien het gaat om een storing aan de CV-ketel zelf (storingscode 003 - GEEN CV).</t>
  </si>
  <si>
    <t>BINNEN CONTRACT: Storing aan de CV-installatie</t>
  </si>
  <si>
    <t>W2548061</t>
  </si>
  <si>
    <t>De monteur heeft lekkage aan de installatie/leiding binnen de ketelkast (binnen 2 meter van de cv-ketel) verholpen door verschillende cv-onderdelen te vervangen. Dit valt binnen het servicecontract.</t>
  </si>
  <si>
    <t>Rhiant (Alles binnen &lt; 2 m van de ketel binnen contract), Lekkage aan de ketel</t>
  </si>
  <si>
    <t>W2547634</t>
  </si>
  <si>
    <t>De monteur heeft onderhoud uitgevoerd aan de cv-ketel en de zonneboiler gecontroleerd. Zonneboiler gerelateerde werkzaamheden vallen binnen het contract volgens de contractvoorwaarden.</t>
  </si>
  <si>
    <t>Onderhoud cv ketel en controle zonneboiler valt binnen contract, zie artikel 'storingen WTW-units'</t>
  </si>
  <si>
    <t>W2547475</t>
  </si>
  <si>
    <t>De monteur heeft een defecte radiatorkraan vervangen. Radiatoren en leidingen die verder dan 2 meter van de cv-ketel zitten, vallen volgens het contract buiten de mantel en zijn daarom niet gedekt.</t>
  </si>
  <si>
    <t>Radiatorkraan/knop vervangen, niet binnen 2m van de ketel</t>
  </si>
  <si>
    <t>W2547480</t>
  </si>
  <si>
    <t>De monteur heeft een storing aan de cv-ketel verholpen, wat valt onder het servicecontract. De werkzaamheden vonden plaats 'binnen de mantel' van de cv-ketel.</t>
  </si>
  <si>
    <t>Binnen contract, zie 'GEEN CV en WW' en 'CV storingen verhelpen' - dit duidt op een storing aan de ketel zelf</t>
  </si>
  <si>
    <t>2026-02-10T16:06:10.203514</t>
  </si>
  <si>
    <t>W2547450</t>
  </si>
  <si>
    <t>De monteur heeft onderdelen binnen de ketelkast vervangen, namelijk het expansievat, ontluchter en automatische ontluchter. Deze onderdelen vallen volgens het contract binnen de mantel van de cv-ketel en daarmee binnen het servicecontract.</t>
  </si>
  <si>
    <t>W2547444</t>
  </si>
  <si>
    <t>De monteur heeft een onderdeel binnen de cv-ketel (ontluchter) vervangen en een storing in de cv-ketel verholpen. Dit valt binnen het contract, aangezien de werkzaamheden 'binnen de mantel' van de ketel plaatsvonden.</t>
  </si>
  <si>
    <t>W2547442</t>
  </si>
  <si>
    <t>De monteur heeft een storing aan de Viessmann Vitodens 100 WB1C cv-ketel verholpen. Storingen binnen de ketelkast (mantel) vallen binnen het servicecontract.</t>
  </si>
  <si>
    <t>W2547441</t>
  </si>
  <si>
    <t>De monteur heeft een defect expansievat in de cv-ketel vervangen, wat een onderdeel is dat binnen de mantel van de ketel valt en daarmee binnen het contract.</t>
  </si>
  <si>
    <t>W2547440</t>
  </si>
  <si>
    <t>De monteur heeft een onderdeel binnen de ketelkast (ontstekingstrafo) vervangen, wat valt onder het servicecontract. De werkzaamheden hebben plaatsgevonden 'binnen de mantel' van de cv-ketel.</t>
  </si>
  <si>
    <t>W2547436</t>
  </si>
  <si>
    <t>De monteur heeft een 'lekkage onder de ketel' verholpen, wat betekent dat de lekkage zich buiten de ketelkast bevindt. Dit valt daarom buiten het contract, omdat het niet binnen 2 meter van de ketel is.</t>
  </si>
  <si>
    <t>W2547427</t>
  </si>
  <si>
    <t>De monteur heeft een lekkage aan de installatie verholpen, wat binnen de ketelkast (mantel) van de cv-ketel valt. Dit is een storingsreparatie van een ketelonderdeel en valt daarom binnen het contract.</t>
  </si>
  <si>
    <t>W2547409</t>
  </si>
  <si>
    <t>De werkzaamheden hebben betrekking op het verhelpen van een storing aan de warmtepomp, wat binnen het servicecontract valt. De monteur heeft de storing opgelost en de installatie weer in werking gesteld.</t>
  </si>
  <si>
    <t>Contract Trivire Tablis rhiant, Storingen aan: warmtepompen</t>
  </si>
  <si>
    <t>W2547401</t>
  </si>
  <si>
    <t>De monteur heeft gewerkt aan een probleem met de CV-installatie op de hele bovenverdieping, waarbij alle radiatoren koud bleven. Dit valt buiten het contract, omdat de werkzaamheden niet binnen 2 meter van de cv-ketel waren.</t>
  </si>
  <si>
    <t>Het contract geeft aan dat werkzaamheden aan de hele CV-installatie (behalve de ketel zelf) buiten het contract vallen.</t>
  </si>
  <si>
    <t>W2547364</t>
  </si>
  <si>
    <t>De monteur heeft een radiatorkraan/knop in de woonkamer gerepareerd. Dit is een onderdeel dat buiten de ketelkast valt en dus niet binnen het contract wordt vergoed volgens de contractvoorwaarden.</t>
  </si>
  <si>
    <t>De werkzaamheden vallen onder 'Radiatorkranen en appendages' die volgens het contract buiten het contract vallen (&gt; 2m van de ketel)</t>
  </si>
  <si>
    <t>32.76</t>
  </si>
  <si>
    <t>2026-02-10T16:09:05.988553</t>
  </si>
  <si>
    <t>W2547196</t>
  </si>
  <si>
    <t>De werkbon heeft betrekking op een lekkage aan een radiator, waarbij onderdelen binnen de ketelkast (&lt; 2 meter van de cv-ketel) zijn vervangen, zoals een expansievat. Dit valt binnen het servicecontract volgens de contractvoorwaarden.</t>
  </si>
  <si>
    <t>Binnen contract: 'binnen de mantel van de cv-ketel', 'radiatorkranen en appendages'</t>
  </si>
  <si>
    <t>W2547140</t>
  </si>
  <si>
    <t>De monteur heeft een lekkage onder de cv-ketel opgelost. Aangezien dit buiten de ketelkast valt, vallen de werkzaamheden buiten het contract.</t>
  </si>
  <si>
    <t>Contractvoorwaarden: Lekkage ONDER de ketel is buiten de ketelkast, dus buiten contract.</t>
  </si>
  <si>
    <t>W2547131</t>
  </si>
  <si>
    <t>De monteur heeft een defecte thermostaatkop vervangen op een radiatorkraan, welke zich binnen 2 meter van de cv-ketel bevindt. Dit valt binnen het contract.</t>
  </si>
  <si>
    <t>Rhiant (Alles binnen &lt; 2 m van de ketel binnen contract): radiatorkranen en appendages</t>
  </si>
  <si>
    <t>W2547120</t>
  </si>
  <si>
    <t>De werkbon beschrijft een defecte radiatorkraan in de woonkamer en slaapkamer. Volgens het contract zijn radiatorkranen binnen contract, maar de reparatie vindt plaats buiten de &lt; 2m zone van de cv-ketel. Daarom valt deze werkbon buiten het contract.</t>
  </si>
  <si>
    <t>Radiatorkranen en appendages zijn binnen contract, maar reparatie vindt plaats buiten de &lt; 2m zone van de ketel</t>
  </si>
  <si>
    <t>W2547114</t>
  </si>
  <si>
    <t>De werkbon vermeldt een 'radiatorkraan/knop defect' in de woonkamer. Dit wijst erop dat er reparatie nodig was aan de radiatorkraan, wat in principe buiten het contract valt. Tenzij de radiatorkraan zich binnen 2 meter van de cv-ketel bevindt, wat echter niet duidelijk is uit de informatie. Daarom classificeer ik dit als 'NEE', met een hoge confidence van 0.9.</t>
  </si>
  <si>
    <t>Radiatorkranen en appendages zijn binnen contract, maar de oplossing vermeld een 'defect' wat erop wijst dat er reparatie nodig was.</t>
  </si>
  <si>
    <t>W2547108</t>
  </si>
  <si>
    <t>De monteur heeft gewerkt aan de radiatorkraan, die buiten de 2 meter zone van de cv-ketel valt. Dit valt daarom buiten het contract.</t>
  </si>
  <si>
    <t>Artikel - 'Radiatorkranen en appendages' zijn binnen het contract tot 2m van de ketel. Radiatoren en leidingen zijn buiten het contract, tenzij binnen 2m van de ketel.</t>
  </si>
  <si>
    <t>W2547010</t>
  </si>
  <si>
    <t>De monteur heeft diverse onderdelen binnen de ketelkast (hydroblok, driewegklep, manometer, automatisch vulsysteem) vervangen. Deze onderdelen vallen binnen het servicecontract, omdat ze zich binnen de ketelkast (&lt; 2 meter van de cv-ketel) bevinden.</t>
  </si>
  <si>
    <t>Binnen contract - Onderdelen binnen de ketelkast (&lt; 2 meter van cv-ketel)</t>
  </si>
  <si>
    <t>W2546954</t>
  </si>
  <si>
    <t>De werkbon beschrijft het vervangen van een onderdeel (ontstekingstrafo) van de cv-ketel, wat een 'onderdeel binnen de ketelkast' is. Volgens het contract vallen dergelijke onderdelen binnen de dekking van het servicecontract.</t>
  </si>
  <si>
    <t>Onderdelen 'binnen de mantel' van de cv-ketel vallen binnen het contract</t>
  </si>
  <si>
    <t>61.46</t>
  </si>
  <si>
    <t>W2546990</t>
  </si>
  <si>
    <t>De monteur heeft een storing aan een tapwater boiler van Trivire verholpen. Aangezien dit een algemeen toestel van Trivire betreft en geen specifiek apparaat, valt deze werkzaamheid binnen het contract volgens de voorwaarden.</t>
  </si>
  <si>
    <t>W2547016</t>
  </si>
  <si>
    <t>De monteur heeft een defecte radiatorkraan vervangen. Radiatorkranen vallen buiten het contract, tenzij deze zich binnen 2 meter van de ketel bevinden. Uit de beschrijving blijkt niet dat de radiatorkraan binnen 2 meter van de ketel was geplaatst, dus deze werkzaamheden vallen buiten het contract.</t>
  </si>
  <si>
    <t>Radiatorkraan/knop vervangen valt buiten contract, zie tabel</t>
  </si>
  <si>
    <t>TK</t>
  </si>
  <si>
    <t>oplossing:vloerverwarming stond uit</t>
  </si>
  <si>
    <t>Tapwaterboiler altijd Regie staat ook in de paragraaf van syntess</t>
  </si>
  <si>
    <t>valt niet binnen individueel contract</t>
  </si>
  <si>
    <t>Lekkage leiding keuken (KK) niet binnen contract</t>
  </si>
  <si>
    <t>opmerking:</t>
  </si>
  <si>
    <t>bevinding</t>
  </si>
  <si>
    <t>fout</t>
  </si>
  <si>
    <t>goed</t>
  </si>
  <si>
    <t>Radiatorkranen vallen binnen het contract ook al is dit &gt; 2 meter van de ketel</t>
  </si>
  <si>
    <t>RGA is twijfel ter beoordeling</t>
  </si>
  <si>
    <t>Twijfel ter beoordeling</t>
  </si>
  <si>
    <t>Oplossing: storing voor electrien , oorzaak: probleem derden factureren geen twijfel</t>
  </si>
  <si>
    <t>Oplossing: installatie gevuld en ontlucht binnen contract</t>
  </si>
  <si>
    <t>garantie dit moet gefactureerd worden aan WVI</t>
  </si>
  <si>
    <t>ter beoordeling</t>
  </si>
  <si>
    <t>nvt</t>
  </si>
  <si>
    <t>Rijlabels</t>
  </si>
  <si>
    <t>(leeg)</t>
  </si>
  <si>
    <t>Eindtotaal</t>
  </si>
  <si>
    <t>Aantal van classificatie</t>
  </si>
  <si>
    <t>(Meerdere items)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</si>
</sst>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9" fontId="1" fillId="0" borderId="0" applyFont="0" applyFill="0" applyBorder="0" applyAlignment="0" applyProtection="0"/>
  </cellStyleXfs>
  <cellXfs count="9">
    <xf numFmtId="0" fontId="0" fillId="0" borderId="0" xfId="0"/>
    <xf numFmtId="14" fontId="0" fillId="0" borderId="0" xfId="0" applyNumberFormat="1"/>
    <xf numFmtId="3" fontId="0" fillId="0" borderId="0" xfId="0" applyNumberFormat="1"/>
    <xf numFmtId="0" fontId="0" fillId="33" borderId="0" xfId="0" applyFill="1"/>
    <xf numFmtId="0" fontId="0" fillId="0" borderId="0" xfId="0" pivotButton="1"/>
    <xf numFmtId="0" fontId="0" fillId="0" borderId="0" xfId="0" applyAlignment="1">
      <alignment horizontal="left"/>
    </xf>
    <xf numFmtId="0" fontId="0" fillId="0" borderId="0" xfId="0" applyAlignment="1">
      <alignment horizontal="left" indent="1"/>
    </xf>
    <xf numFmtId="0" fontId="0" fillId="0" borderId="0" xfId="0" applyNumberFormat="1"/>
    <xf numFmtId="9" fontId="0" fillId="0" borderId="0" xfId="42" applyFont="1"/>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erekening" xfId="11" builtinId="22" customBuiltin="1"/>
    <cellStyle name="Controlecel" xfId="13" builtinId="23" customBuiltin="1"/>
    <cellStyle name="Gekoppelde cel" xfId="12" builtinId="24" customBuiltin="1"/>
    <cellStyle name="Goed" xfId="6" builtinId="26" customBuiltin="1"/>
    <cellStyle name="Invoer" xfId="9" builtinId="20" customBuiltin="1"/>
    <cellStyle name="Kop 1" xfId="2" builtinId="16" customBuiltin="1"/>
    <cellStyle name="Kop 2" xfId="3" builtinId="17" customBuiltin="1"/>
    <cellStyle name="Kop 3" xfId="4" builtinId="18" customBuiltin="1"/>
    <cellStyle name="Kop 4" xfId="5" builtinId="19" customBuiltin="1"/>
    <cellStyle name="Neutraal" xfId="8" builtinId="28" customBuiltin="1"/>
    <cellStyle name="Notitie" xfId="15" builtinId="10" customBuiltin="1"/>
    <cellStyle name="Ongeldig" xfId="7" builtinId="27" customBuiltin="1"/>
    <cellStyle name="Procent" xfId="42" builtinId="5"/>
    <cellStyle name="Standaard" xfId="0" builtinId="0"/>
    <cellStyle name="Titel" xfId="1" builtinId="15" customBuiltin="1"/>
    <cellStyle name="Totaal" xfId="17" builtinId="25" customBuiltin="1"/>
    <cellStyle name="Uitvoer" xfId="10" builtinId="21" customBuiltin="1"/>
    <cellStyle name="Verklarende tekst" xfId="16" builtinId="53" customBuiltin="1"/>
    <cellStyle name="Waarschuwingsteks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pivotCacheDefinition" Target="pivotCache/pivotCacheDefinition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Gerrit Smits" refreshedDate="46064.407514930557" createdVersion="8" refreshedVersion="8" minRefreshableVersion="3" recordCount="41" xr:uid="{4741F8CC-82D4-461E-8A4B-CE8FF57FF109}">
  <cacheSource type="worksheet">
    <worksheetSource ref="A1:N1048576" sheet="classificatie_geschiedenis_v2"/>
  </cacheSource>
  <cacheFields count="14">
    <cacheField name="timestamp" numFmtId="0">
      <sharedItems containsBlank="1"/>
    </cacheField>
    <cacheField name="werkbon_key" numFmtId="0">
      <sharedItems containsString="0" containsBlank="1" containsNumber="1" containsInteger="1" minValue="2999322" maxValue="3011594"/>
    </cacheField>
    <cacheField name="werkbon_code" numFmtId="0">
      <sharedItems containsBlank="1"/>
    </cacheField>
    <cacheField name="debiteur" numFmtId="0">
      <sharedItems containsBlank="1"/>
    </cacheField>
    <cacheField name="datum" numFmtId="0">
      <sharedItems containsNonDate="0" containsDate="1" containsString="0" containsBlank="1" minDate="2025-12-09T00:00:00" maxDate="2025-12-20T00:00:00"/>
    </cacheField>
    <cacheField name="contract_filename" numFmtId="0">
      <sharedItems containsBlank="1"/>
    </cacheField>
    <cacheField name="classificatie" numFmtId="0">
      <sharedItems containsBlank="1" count="4">
        <s v="JA"/>
        <s v="TWIJFEL"/>
        <s v="NEE"/>
        <m/>
      </sharedItems>
    </cacheField>
    <cacheField name="basis_classificatie" numFmtId="0">
      <sharedItems containsBlank="1"/>
    </cacheField>
    <cacheField name="confidence" numFmtId="0">
      <sharedItems containsBlank="1"/>
    </cacheField>
    <cacheField name="toelichting" numFmtId="0">
      <sharedItems containsBlank="1" longText="1"/>
    </cacheField>
    <cacheField name="contract_referentie" numFmtId="0">
      <sharedItems containsBlank="1"/>
    </cacheField>
    <cacheField name="TK" numFmtId="0">
      <sharedItems containsBlank="1" containsMixedTypes="1" containsNumber="1" containsInteger="1" minValue="21847" maxValue="5.1724999999999904E+16"/>
    </cacheField>
    <cacheField name="opmerking:" numFmtId="0">
      <sharedItems containsBlank="1" count="12">
        <s v="valt niet binnen individueel contract"/>
        <s v="Oplossing: storing voor electrien , oorzaak: probleem derden factureren geen twijfel"/>
        <m/>
        <s v="Twijfel ter beoordeling"/>
        <s v="Oplossing: installatie gevuld en ontlucht binnen contract"/>
        <s v="oplossing:vloerverwarming stond uit"/>
        <s v="Lekkage leiding keuken (KK) niet binnen contract"/>
        <s v="Radiatorkranen vallen binnen het contract ook al is dit &gt; 2 meter van de ketel"/>
        <s v="garantie dit moet gefactureerd worden aan WVI"/>
        <s v="ter beoordeling"/>
        <s v="RGA is twijfel ter beoordeling"/>
        <s v="Tapwaterboiler altijd Regie staat ook in de paragraaf van syntess"/>
      </sharedItems>
    </cacheField>
    <cacheField name="bevinding" numFmtId="0">
      <sharedItems containsBlank="1" count="4">
        <s v="nvt"/>
        <s v="fout"/>
        <s v="goed"/>
        <m/>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1">
  <r>
    <s v="2026-02-10T16:01:09.004390"/>
    <n v="3011594"/>
    <s v="W2548579"/>
    <s v="005102 - Trivire"/>
    <d v="2025-12-19T00:00:00"/>
    <s v="Trivire_Tablis_rhiant.txt"/>
    <x v="0"/>
    <s v="JA"/>
    <s v="90.0"/>
    <s v="De monteur heeft een defecte radiatorkraan/knop in de woonkamer/keuken vervangen. Dit valt binnen het contractbereik, aangezien radiatorkranen en appendages binnen 2 meter van de CV-ketel worden beschouwd als onderdelen binnen de mantel."/>
    <s v="Rhiant (Alles binnen &lt; 2 m van de ketel binnen contract) - Radiatorkranen en appendages"/>
    <n v="24244"/>
    <x v="0"/>
    <x v="0"/>
  </r>
  <r>
    <s v="2026-02-10T16:01:09.004390"/>
    <n v="3010988"/>
    <s v="W2548509"/>
    <s v="005102 - Trivire"/>
    <d v="2025-12-19T00:00:00"/>
    <s v="Trivire_Tablis_rhiant.txt"/>
    <x v="1"/>
    <s v="JA"/>
    <s v="70.0"/>
    <s v="De monteur heeft een storing aan de CV-ketel verholpen, wat binnen het contract valt. De omschrijving vermeldt dat de CV en warmwater niet werkten en er regelmatig gereset moest worden. Dit duidt op een probleem binnen de ketelkast, waarvan de reparatie binnen het contract valt."/>
    <s v="Binnen contract - Storingen aan CV-ketel"/>
    <n v="729815"/>
    <x v="1"/>
    <x v="1"/>
  </r>
  <r>
    <s v="2026-02-10T16:01:09.004390"/>
    <n v="3010931"/>
    <s v="W2548498"/>
    <s v="005102 - Trivire"/>
    <d v="2025-12-18T00:00:00"/>
    <s v="Trivire_Tablis_rhiant.txt"/>
    <x v="0"/>
    <s v="JA"/>
    <s v="90.0"/>
    <s v="De monteur heeft onderdelen binnen de ketelkast vervangen, zoals het expansievat, ontluchter en veiligheidsventiel. Deze onderdelen vallen binnen het contract en worden daarom niet gefactureerd aan de klant."/>
    <s v="Rhiant (Alles binnen &lt; 2 m van de ketel binnen contract)"/>
    <n v="8947749999999990"/>
    <x v="2"/>
    <x v="2"/>
  </r>
  <r>
    <s v="2026-02-10T16:01:09.004390"/>
    <n v="3010648"/>
    <s v="W2548457"/>
    <s v="005102 - Trivire"/>
    <d v="2025-12-18T00:00:00"/>
    <s v="Trivire_Tablis_rhiant.txt"/>
    <x v="0"/>
    <s v="JA"/>
    <s v="100.0"/>
    <s v="De monteur heeft de cv-installatie bijgevuld, wat binnen het onderhoudscontract valt aangezien dit een ketelonderdeel is binnen de 2 meter van de cv-ketel."/>
    <s v="Artikel 'bijvullen en ontluchten' binnen de 'mantel van de cv-ketel'"/>
    <n v="1.15994499999999E+16"/>
    <x v="2"/>
    <x v="2"/>
  </r>
  <r>
    <s v="2026-02-10T16:01:09.004390"/>
    <n v="3010631"/>
    <s v="W2548454"/>
    <s v="005102 - Trivire"/>
    <d v="2025-12-18T00:00:00"/>
    <s v="Trivire_Tablis_rhiant.txt"/>
    <x v="0"/>
    <s v="JA"/>
    <s v="90.0"/>
    <s v="De monteur heeft storingen aan de cv-ketel verholpen, wat binnen het contract valt. Hij heeft geen werkzaamheden buiten de ketelkast uitgevoerd."/>
    <s v="Binnen de mantel van de cv-ketel, binnen contract"/>
    <n v="115716"/>
    <x v="2"/>
    <x v="2"/>
  </r>
  <r>
    <s v="2026-02-10T16:01:09.004390"/>
    <n v="3010455"/>
    <s v="W2548428"/>
    <s v="005102 - Trivire"/>
    <d v="2025-12-18T00:00:00"/>
    <s v="Trivire_Tablis_rhiant.txt"/>
    <x v="0"/>
    <s v="JA"/>
    <s v="90.0"/>
    <s v="De monteur heeft een storing aan de CV-ketel verholpen door een actuator, driewegklep en cartridge te vervangen. Deze onderdelen maken deel uit van de CV-ketel zelf en vallen daarom binnen het servicecontract."/>
    <s v="Binnen contract: Onderdelen van de CV-ketel zelf (ventilator, gasklep, expansievat, etc.)"/>
    <s v="147.36"/>
    <x v="2"/>
    <x v="2"/>
  </r>
  <r>
    <s v="2026-02-10T16:01:09.004390"/>
    <n v="3009146"/>
    <s v="W2548268"/>
    <s v="005102 - Trivire"/>
    <d v="2025-12-17T00:00:00"/>
    <s v="Trivire_Tablis_rhiant.txt"/>
    <x v="2"/>
    <s v="NEE"/>
    <s v="90.0"/>
    <s v="De monteur heeft een 'Lekkage onder de ketel' verholpen, wat volgens het contract buiten de mantel van de cv-ketel valt en dus niet binnen het contract is gedekt. De werkzaamheden bestonden uit het vervangen van PVC-onderdelen zoals buizen, sifon en bochten om de lekkage op te lossen."/>
    <s v="Contract Trivire Tablis rhiant - Lekkage onder de ketel is expliciet uitgesloten"/>
    <n v="99274"/>
    <x v="3"/>
    <x v="2"/>
  </r>
  <r>
    <s v="2026-02-10T16:01:09.004390"/>
    <n v="3008669"/>
    <s v="W2548204"/>
    <s v="005102 - Trivire"/>
    <d v="2025-12-17T00:00:00"/>
    <s v="Trivire_Tablis_rhiant.txt"/>
    <x v="0"/>
    <s v="JA"/>
    <s v="90.0"/>
    <s v="De monteur heeft de storing aan de kamerthermostaat verholpen, wat onder het contract valt. De werkzaamheden zijn uitgevoerd 'binnen de mantel' van de cv-ketel."/>
    <s v="Volgens het contractartikel 'Kamerthermostaat' valt het vervangen van de batterijen van de kamerthermostaat binnen het contract."/>
    <n v="380425"/>
    <x v="2"/>
    <x v="2"/>
  </r>
  <r>
    <s v="2026-02-10T16:01:09.004390"/>
    <n v="3008692"/>
    <s v="W2548207"/>
    <s v="005102 - Trivire"/>
    <d v="2025-12-17T00:00:00"/>
    <s v="Trivire_Tablis_rhiant.txt"/>
    <x v="2"/>
    <s v="NEE"/>
    <s v="90.0"/>
    <s v="De werkzaamheden hebben betrekking op de vloerverwarming, die volgens het contract buiten de ketelkast (&gt; 2m van de cv-ketel) vallen en daarmee niet onder het contract worden gedekt. De monteur heeft de storing aan de vloerverwarmingsinstallatie verholpen."/>
    <s v="Vloerverwarming regelingen etc."/>
    <n v="1.489295E+16"/>
    <x v="0"/>
    <x v="0"/>
  </r>
  <r>
    <s v="2026-02-10T16:01:09.004390"/>
    <n v="3008701"/>
    <s v="W2548208"/>
    <s v="005102 - Trivire"/>
    <d v="2025-12-17T00:00:00"/>
    <s v="Trivire_Tablis_rhiant.txt"/>
    <x v="2"/>
    <s v="NEE"/>
    <s v="90.0"/>
    <s v="De monteur heeft een defecte/lekkende radiatorkraan vervangen. Radiatorkranen en appendages vallen normaal binnen het contract, maar omdat het gaat om een lekkage aan de radiatorkraan, valt dit specifieke geval buiten het contract. Lekkages aan leidingen of radiatoren (buiten 2m van de ketel) worden als buiten contract beschouwd."/>
    <s v="Radiatorkranen en appendages zijn BINNEN contract (&lt; 2m), maar lekkage aan radiatorkraan is BUITEN contract"/>
    <n v="3.3846E+16"/>
    <x v="0"/>
    <x v="0"/>
  </r>
  <r>
    <s v="2026-02-10T16:04:12.453033"/>
    <n v="3008478"/>
    <s v="W2548193"/>
    <s v="005102 - Trivire"/>
    <d v="2025-12-16T00:00:00"/>
    <s v="Trivire_Tablis_rhiant.txt"/>
    <x v="0"/>
    <s v="JA"/>
    <s v="90.0"/>
    <s v="De werkzaamheden vallen binnen het contract omdat de monteur de volgende onderdelen binnen de ketelkast (&lt; 2m van de cv-ketel) heeft vervangen: 3-wegklep en circulatiepomp. Deze onderdelen maken deel uit van de cv-ketel zelf en zijn daarom gedekt door het servicecontract."/>
    <s v="Binnen de mantel van de cv-ketel: Ventilator, gasklep, expansievat, warmtewisselaar, ontstekingselektrode, pakking, printplaat, sensor, drukmeter, ontluchter, pomp van de ketel, waterdrukschakelaar"/>
    <n v="4086375"/>
    <x v="2"/>
    <x v="2"/>
  </r>
  <r>
    <s v="2026-02-10T16:04:12.453033"/>
    <n v="3008375"/>
    <s v="W2548170"/>
    <s v="005102 - Trivire"/>
    <d v="2025-12-16T00:00:00"/>
    <s v="Trivire_Tablis_rhiant.txt"/>
    <x v="1"/>
    <s v="JA"/>
    <s v="80.0"/>
    <s v="De monteur heeft een storing aan de CV-installatie verholpen. Omdat de beschrijving geen specifieke locatie vermeldt, ga ik er vanuit dat de werkzaamheden binnen de ketelkast ('binnen de mantel') waren. Dergelijke storingen aan de CV-ketel zelf vallen binnen het contract volgens de contractvoorwaarden."/>
    <s v="Binnen de mantel van de cv-ketel"/>
    <n v="5.1724999999999904E+16"/>
    <x v="4"/>
    <x v="1"/>
  </r>
  <r>
    <s v="2026-02-10T16:04:12.453033"/>
    <n v="3008294"/>
    <s v="W2548162"/>
    <s v="005102 - Trivire"/>
    <d v="2025-12-16T00:00:00"/>
    <s v="Trivire_Tablis_rhiant.txt"/>
    <x v="0"/>
    <s v="JA"/>
    <s v="90.0"/>
    <s v="De werkbon beschrijft dat er een lekkage was aan de installatie. De monteur heeft onderdelen zoals bochten, koppelingen en buizen vervangen. Dit gebeurde 'binnen de mantel' van de cv-ketel, dus binnen het contract volgens de contractvoorwaarden."/>
    <s v="Binnen de mantel van de cv-ketel"/>
    <n v="2.18329999999999E+16"/>
    <x v="0"/>
    <x v="0"/>
  </r>
  <r>
    <s v="2026-02-10T16:04:12.453033"/>
    <n v="3008071"/>
    <s v="W2548129"/>
    <s v="005102 - Trivire"/>
    <d v="2025-12-16T00:00:00"/>
    <s v="Trivire_Tablis_rhiant.txt"/>
    <x v="0"/>
    <s v="JA"/>
    <s v="90.0"/>
    <s v="De monteur heeft de storing aan de cv-ketel verholpen, waaruit blijkt dat de werkzaamheden binnen de ketelkast (&lt; 2 meter van de cv-ketel) hebben plaatsgevonden. Aangezien dit onderdelen zijn die binnen het contract vallen, classificeer ik deze werkbon als 'JA' - binnen het contract."/>
    <s v="Onderdelen binnen de ketelkast vallen onder het contract"/>
    <n v="2962375"/>
    <x v="5"/>
    <x v="1"/>
  </r>
  <r>
    <s v="2026-02-10T16:04:12.453033"/>
    <n v="3007972"/>
    <s v="W2548123"/>
    <s v="005102 - Trivire"/>
    <d v="2025-12-16T00:00:00"/>
    <s v="Trivire_Tablis_rhiant.txt"/>
    <x v="0"/>
    <s v="JA"/>
    <s v="90.0"/>
    <s v="De monteur heeft onderdelen binnen de cv-ketel vervangen, zoals de ontstekingstrafo en ontluchter. Dit valt binnen het servicecontract volgens de contractvoorwaarden."/>
    <s v="Binnen contract: 'binnen de mantel van de cv-ketel'"/>
    <n v="2.10765E+16"/>
    <x v="2"/>
    <x v="2"/>
  </r>
  <r>
    <s v="2026-02-10T16:04:12.453033"/>
    <n v="3007818"/>
    <s v="W2548092"/>
    <s v="005102 - Trivire"/>
    <d v="2025-12-16T00:00:00"/>
    <s v="Trivire_Tablis_rhiant.txt"/>
    <x v="0"/>
    <s v="JA"/>
    <s v="90.0"/>
    <s v="Uit de werkbonomschrijving blijkt dat de monteur is opgeroepen voor een storing aan de CV-installatie. Dit valt binnen het contract, aangezien het gaat om een storing aan de CV-ketel zelf (storingscode 003 - GEEN CV)."/>
    <s v="BINNEN CONTRACT: Storing aan de CV-installatie"/>
    <n v="49943"/>
    <x v="2"/>
    <x v="2"/>
  </r>
  <r>
    <s v="2026-02-10T16:04:12.453033"/>
    <n v="3007693"/>
    <s v="W2548061"/>
    <s v="005102 - Trivire"/>
    <d v="2025-12-16T00:00:00"/>
    <s v="Trivire_Tablis_rhiant.txt"/>
    <x v="0"/>
    <s v="JA"/>
    <s v="90.0"/>
    <s v="De monteur heeft lekkage aan de installatie/leiding binnen de ketelkast (binnen 2 meter van de cv-ketel) verholpen door verschillende cv-onderdelen te vervangen. Dit valt binnen het servicecontract."/>
    <s v="Rhiant (Alles binnen &lt; 2 m van de ketel binnen contract), Lekkage aan de ketel"/>
    <n v="1.47154999999999E+16"/>
    <x v="6"/>
    <x v="1"/>
  </r>
  <r>
    <s v="2026-02-10T16:04:12.453033"/>
    <n v="3004000"/>
    <s v="W2547634"/>
    <s v="005102 - Trivire"/>
    <d v="2025-12-15T00:00:00"/>
    <s v="Trivire_Tablis_rhiant.txt"/>
    <x v="1"/>
    <s v="JA"/>
    <s v="80.0"/>
    <s v="De monteur heeft onderhoud uitgevoerd aan de cv-ketel en de zonneboiler gecontroleerd. Zonneboiler gerelateerde werkzaamheden vallen binnen het contract volgens de contractvoorwaarden."/>
    <s v="Onderhoud cv ketel en controle zonneboiler valt binnen contract, zie artikel 'storingen WTW-units'"/>
    <n v="327705"/>
    <x v="4"/>
    <x v="1"/>
  </r>
  <r>
    <s v="2026-02-10T16:04:12.453033"/>
    <n v="3003433"/>
    <s v="W2547475"/>
    <s v="005102 - Trivire"/>
    <d v="2025-12-15T00:00:00"/>
    <s v="Trivire_Tablis_rhiant.txt"/>
    <x v="2"/>
    <s v="NEE"/>
    <s v="90.0"/>
    <s v="De monteur heeft een defecte radiatorkraan vervangen. Radiatoren en leidingen die verder dan 2 meter van de cv-ketel zitten, vallen volgens het contract buiten de mantel en zijn daarom niet gedekt."/>
    <s v="Radiatorkraan/knop vervangen, niet binnen 2m van de ketel"/>
    <n v="132277"/>
    <x v="7"/>
    <x v="1"/>
  </r>
  <r>
    <s v="2026-02-10T16:04:12.453033"/>
    <n v="3003676"/>
    <s v="W2547480"/>
    <s v="005102 - Trivire"/>
    <d v="2025-12-15T00:00:00"/>
    <s v="Trivire_Tablis_rhiant.txt"/>
    <x v="0"/>
    <s v="JA"/>
    <s v="90.0"/>
    <s v="De monteur heeft een storing aan de cv-ketel verholpen, wat valt onder het servicecontract. De werkzaamheden vonden plaats 'binnen de mantel' van de cv-ketel."/>
    <s v="Binnen contract, zie 'GEEN CV en WW' en 'CV storingen verhelpen' - dit duidt op een storing aan de ketel zelf"/>
    <n v="373255"/>
    <x v="2"/>
    <x v="2"/>
  </r>
  <r>
    <s v="2026-02-10T16:06:10.203514"/>
    <n v="3003244"/>
    <s v="W2547450"/>
    <s v="005102 - Trivire"/>
    <d v="2025-12-13T00:00:00"/>
    <s v="Trivire_Tablis_rhiant.txt"/>
    <x v="0"/>
    <s v="JA"/>
    <s v="90.0"/>
    <s v="De monteur heeft onderdelen binnen de ketelkast vervangen, namelijk het expansievat, ontluchter en automatische ontluchter. Deze onderdelen vallen volgens het contract binnen de mantel van de cv-ketel en daarmee binnen het servicecontract."/>
    <s v="Binnen de mantel van de cv-ketel"/>
    <n v="184164"/>
    <x v="2"/>
    <x v="2"/>
  </r>
  <r>
    <s v="2026-02-10T16:06:10.203514"/>
    <n v="3003238"/>
    <s v="W2547444"/>
    <s v="005102 - Trivire"/>
    <d v="2025-12-13T00:00:00"/>
    <s v="Trivire_Tablis_rhiant.txt"/>
    <x v="0"/>
    <s v="JA"/>
    <s v="90.0"/>
    <s v="De monteur heeft een onderdeel binnen de cv-ketel (ontluchter) vervangen en een storing in de cv-ketel verholpen. Dit valt binnen het contract, aangezien de werkzaamheden 'binnen de mantel' van de ketel plaatsvonden."/>
    <s v="Binnen de mantel van de cv-ketel"/>
    <n v="120458"/>
    <x v="2"/>
    <x v="2"/>
  </r>
  <r>
    <s v="2026-02-10T16:06:10.203514"/>
    <n v="3003236"/>
    <s v="W2547442"/>
    <s v="005102 - Trivire"/>
    <d v="2025-12-13T00:00:00"/>
    <s v="Trivire_Tablis_rhiant.txt"/>
    <x v="0"/>
    <s v="JA"/>
    <s v="90.0"/>
    <s v="De monteur heeft een storing aan de Viessmann Vitodens 100 WB1C cv-ketel verholpen. Storingen binnen de ketelkast (mantel) vallen binnen het servicecontract."/>
    <s v="Binnen de mantel van de cv-ketel"/>
    <n v="62891"/>
    <x v="2"/>
    <x v="2"/>
  </r>
  <r>
    <s v="2026-02-10T16:06:10.203514"/>
    <n v="3003235"/>
    <s v="W2547441"/>
    <s v="005102 - Trivire"/>
    <d v="2025-12-13T00:00:00"/>
    <s v="Trivire_Tablis_rhiant.txt"/>
    <x v="0"/>
    <s v="JA"/>
    <s v="100.0"/>
    <s v="De monteur heeft een defect expansievat in de cv-ketel vervangen, wat een onderdeel is dat binnen de mantel van de ketel valt en daarmee binnen het contract."/>
    <s v="Binnen de mantel van de cv-ketel"/>
    <n v="8812049999999990"/>
    <x v="2"/>
    <x v="2"/>
  </r>
  <r>
    <s v="2026-02-10T16:06:10.203514"/>
    <n v="3003234"/>
    <s v="W2547440"/>
    <s v="005102 - Trivire"/>
    <d v="2025-12-13T00:00:00"/>
    <s v="Trivire_Tablis_rhiant.txt"/>
    <x v="0"/>
    <s v="JA"/>
    <s v="90.0"/>
    <s v="De monteur heeft een onderdeel binnen de ketelkast (ontstekingstrafo) vervangen, wat valt onder het servicecontract. De werkzaamheden hebben plaatsgevonden 'binnen de mantel' van de cv-ketel."/>
    <s v="Binnen de mantel van de cv-ketel"/>
    <n v="1.105525E+16"/>
    <x v="2"/>
    <x v="2"/>
  </r>
  <r>
    <s v="2026-02-10T16:06:10.203514"/>
    <n v="3003226"/>
    <s v="W2547436"/>
    <s v="005102 - Trivire"/>
    <d v="2025-12-12T00:00:00"/>
    <s v="Trivire_Tablis_rhiant.txt"/>
    <x v="2"/>
    <s v="NEE"/>
    <s v="90.0"/>
    <s v="De monteur heeft een 'lekkage onder de ketel' verholpen, wat betekent dat de lekkage zich buiten de ketelkast bevindt. Dit valt daarom buiten het contract, omdat het niet binnen 2 meter van de ketel is."/>
    <s v="Rhiant (Alles binnen &lt; 2 m van de ketel binnen contract)"/>
    <n v="67938"/>
    <x v="2"/>
    <x v="2"/>
  </r>
  <r>
    <s v="2026-02-10T16:06:10.203514"/>
    <n v="3003200"/>
    <s v="W2547427"/>
    <s v="005102 - Trivire"/>
    <d v="2025-12-12T00:00:00"/>
    <s v="Trivire_Tablis_rhiant.txt"/>
    <x v="0"/>
    <s v="JA"/>
    <s v="90.0"/>
    <s v="De monteur heeft een lekkage aan de installatie verholpen, wat binnen de ketelkast (mantel) van de cv-ketel valt. Dit is een storingsreparatie van een ketelonderdeel en valt daarom binnen het contract."/>
    <s v="Binnen de mantel van de cv-ketel"/>
    <n v="21847"/>
    <x v="2"/>
    <x v="2"/>
  </r>
  <r>
    <s v="2026-02-10T16:06:10.203514"/>
    <n v="3003090"/>
    <s v="W2547409"/>
    <s v="005102 - Trivire"/>
    <d v="2025-12-12T00:00:00"/>
    <s v="Trivire_Tablis_rhiant.txt"/>
    <x v="1"/>
    <s v="JA"/>
    <s v="80.0"/>
    <s v="De werkzaamheden hebben betrekking op het verhelpen van een storing aan de warmtepomp, wat binnen het servicecontract valt. De monteur heeft de storing opgelost en de installatie weer in werking gesteld."/>
    <s v="Contract Trivire Tablis rhiant, Storingen aan: warmtepompen"/>
    <n v="172857"/>
    <x v="8"/>
    <x v="2"/>
  </r>
  <r>
    <s v="2026-02-10T16:06:10.203514"/>
    <n v="3002902"/>
    <s v="W2547401"/>
    <s v="005102 - Trivire"/>
    <d v="2025-12-12T00:00:00"/>
    <s v="Trivire_Tablis_rhiant.txt"/>
    <x v="1"/>
    <s v="NEE"/>
    <s v="80.0"/>
    <s v="De monteur heeft gewerkt aan een probleem met de CV-installatie op de hele bovenverdieping, waarbij alle radiatoren koud bleven. Dit valt buiten het contract, omdat de werkzaamheden niet binnen 2 meter van de cv-ketel waren."/>
    <s v="Het contract geeft aan dat werkzaamheden aan de hele CV-installatie (behalve de ketel zelf) buiten het contract vallen."/>
    <n v="1.07340499999999E+16"/>
    <x v="4"/>
    <x v="1"/>
  </r>
  <r>
    <s v="2026-02-10T16:06:10.203514"/>
    <n v="3002707"/>
    <s v="W2547364"/>
    <s v="005102 - Trivire"/>
    <d v="2025-12-12T00:00:00"/>
    <s v="Trivire_Tablis_rhiant.txt"/>
    <x v="1"/>
    <s v="NEE"/>
    <s v="80.0"/>
    <s v="De monteur heeft een radiatorkraan/knop in de woonkamer gerepareerd. Dit is een onderdeel dat buiten de ketelkast valt en dus niet binnen het contract wordt vergoed volgens de contractvoorwaarden."/>
    <s v="De werkzaamheden vallen onder 'Radiatorkranen en appendages' die volgens het contract buiten het contract vallen (&gt; 2m van de ketel)"/>
    <s v="32.76"/>
    <x v="9"/>
    <x v="2"/>
  </r>
  <r>
    <s v="2026-02-10T16:09:05.988553"/>
    <n v="3001438"/>
    <s v="W2547196"/>
    <s v="005102 - Trivire"/>
    <d v="2025-12-10T00:00:00"/>
    <s v="Trivire_Tablis_rhiant.txt"/>
    <x v="0"/>
    <s v="JA"/>
    <s v="90.0"/>
    <s v="De werkbon heeft betrekking op een lekkage aan een radiator, waarbij onderdelen binnen de ketelkast (&lt; 2 meter van de cv-ketel) zijn vervangen, zoals een expansievat. Dit valt binnen het servicecontract volgens de contractvoorwaarden."/>
    <s v="Binnen contract: 'binnen de mantel van de cv-ketel', 'radiatorkranen en appendages'"/>
    <n v="4.08953E+16"/>
    <x v="2"/>
    <x v="2"/>
  </r>
  <r>
    <s v="2026-02-10T16:09:05.988553"/>
    <n v="3001034"/>
    <s v="W2547140"/>
    <s v="005102 - Trivire"/>
    <d v="2025-12-10T00:00:00"/>
    <s v="Trivire_Tablis_rhiant.txt"/>
    <x v="2"/>
    <s v="NEE"/>
    <s v="90.0"/>
    <s v="De monteur heeft een lekkage onder de cv-ketel opgelost. Aangezien dit buiten de ketelkast valt, vallen de werkzaamheden buiten het contract."/>
    <s v="Contractvoorwaarden: Lekkage ONDER de ketel is buiten de ketelkast, dus buiten contract."/>
    <n v="9745349999999990"/>
    <x v="10"/>
    <x v="2"/>
  </r>
  <r>
    <s v="2026-02-10T16:09:05.988553"/>
    <n v="3000917"/>
    <s v="W2547131"/>
    <s v="005102 - Trivire"/>
    <d v="2025-12-10T00:00:00"/>
    <s v="Trivire_Tablis_rhiant.txt"/>
    <x v="0"/>
    <s v="JA"/>
    <s v="90.0"/>
    <s v="De monteur heeft een defecte thermostaatkop vervangen op een radiatorkraan, welke zich binnen 2 meter van de cv-ketel bevindt. Dit valt binnen het contract."/>
    <s v="Rhiant (Alles binnen &lt; 2 m van de ketel binnen contract): radiatorkranen en appendages"/>
    <n v="47881"/>
    <x v="0"/>
    <x v="0"/>
  </r>
  <r>
    <s v="2026-02-10T16:09:05.988553"/>
    <n v="3000802"/>
    <s v="W2547120"/>
    <s v="005102 - Trivire"/>
    <d v="2025-12-10T00:00:00"/>
    <s v="Trivire_Tablis_rhiant.txt"/>
    <x v="2"/>
    <s v="NEE"/>
    <s v="90.0"/>
    <s v="De werkbon beschrijft een defecte radiatorkraan in de woonkamer en slaapkamer. Volgens het contract zijn radiatorkranen binnen contract, maar de reparatie vindt plaats buiten de &lt; 2m zone van de cv-ketel. Daarom valt deze werkbon buiten het contract."/>
    <s v="Radiatorkranen en appendages zijn binnen contract, maar reparatie vindt plaats buiten de &lt; 2m zone van de ketel"/>
    <n v="1179865"/>
    <x v="7"/>
    <x v="1"/>
  </r>
  <r>
    <s v="2026-02-10T16:09:05.988553"/>
    <n v="3000775"/>
    <s v="W2547114"/>
    <s v="005102 - Trivire"/>
    <d v="2025-12-10T00:00:00"/>
    <s v="Trivire_Tablis_rhiant.txt"/>
    <x v="2"/>
    <s v="NEE"/>
    <s v="90.0"/>
    <s v="De werkbon vermeldt een 'radiatorkraan/knop defect' in de woonkamer. Dit wijst erop dat er reparatie nodig was aan de radiatorkraan, wat in principe buiten het contract valt. Tenzij de radiatorkraan zich binnen 2 meter van de cv-ketel bevindt, wat echter niet duidelijk is uit de informatie. Daarom classificeer ik dit als 'NEE', met een hoge confidence van 0.9."/>
    <s v="Radiatorkranen en appendages zijn binnen contract, maar de oplossing vermeld een 'defect' wat erop wijst dat er reparatie nodig was."/>
    <n v="5.137E+16"/>
    <x v="7"/>
    <x v="1"/>
  </r>
  <r>
    <s v="2026-02-10T16:09:05.988553"/>
    <n v="3000716"/>
    <s v="W2547108"/>
    <s v="005102 - Trivire"/>
    <d v="2025-12-10T00:00:00"/>
    <s v="Trivire_Tablis_rhiant.txt"/>
    <x v="2"/>
    <s v="NEE"/>
    <s v="90.0"/>
    <s v="De monteur heeft gewerkt aan de radiatorkraan, die buiten de 2 meter zone van de cv-ketel valt. Dit valt daarom buiten het contract."/>
    <s v="Artikel - 'Radiatorkranen en appendages' zijn binnen het contract tot 2m van de ketel. Radiatoren en leidingen zijn buiten het contract, tenzij binnen 2m van de ketel."/>
    <n v="101791"/>
    <x v="0"/>
    <x v="0"/>
  </r>
  <r>
    <s v="2026-02-10T16:09:05.988553"/>
    <n v="2999714"/>
    <s v="W2547010"/>
    <s v="005102 - Trivire"/>
    <d v="2025-12-09T00:00:00"/>
    <s v="Trivire_Tablis_rhiant.txt"/>
    <x v="0"/>
    <s v="JA"/>
    <s v="90.0"/>
    <s v="De monteur heeft diverse onderdelen binnen de ketelkast (hydroblok, driewegklep, manometer, automatisch vulsysteem) vervangen. Deze onderdelen vallen binnen het servicecontract, omdat ze zich binnen de ketelkast (&lt; 2 meter van de cv-ketel) bevinden."/>
    <s v="Binnen contract - Onderdelen binnen de ketelkast (&lt; 2 meter van cv-ketel)"/>
    <n v="878977"/>
    <x v="2"/>
    <x v="2"/>
  </r>
  <r>
    <s v="2026-02-10T16:09:05.988553"/>
    <n v="2999322"/>
    <s v="W2546954"/>
    <s v="005102 - Trivire"/>
    <d v="2025-12-09T00:00:00"/>
    <s v="Trivire_Tablis_rhiant.txt"/>
    <x v="0"/>
    <s v="JA"/>
    <s v="90.0"/>
    <s v="De werkbon beschrijft het vervangen van een onderdeel (ontstekingstrafo) van de cv-ketel, wat een 'onderdeel binnen de ketelkast' is. Volgens het contract vallen dergelijke onderdelen binnen de dekking van het servicecontract."/>
    <s v="Onderdelen 'binnen de mantel' van de cv-ketel vallen binnen het contract"/>
    <s v="61.46"/>
    <x v="2"/>
    <x v="2"/>
  </r>
  <r>
    <s v="2026-02-10T16:09:05.988553"/>
    <n v="2999548"/>
    <s v="W2546990"/>
    <s v="005102 - Trivire"/>
    <d v="2025-12-09T00:00:00"/>
    <s v="Trivire_Tablis_rhiant.txt"/>
    <x v="0"/>
    <s v="JA"/>
    <s v="90.0"/>
    <s v="De monteur heeft een storing aan een tapwater boiler van Trivire verholpen. Aangezien dit een algemeen toestel van Trivire betreft en geen specifiek apparaat, valt deze werkzaamheid binnen het contract volgens de voorwaarden."/>
    <s v="Binnen de mantel van de cv-ketel"/>
    <n v="831705"/>
    <x v="11"/>
    <x v="1"/>
  </r>
  <r>
    <s v="2026-02-10T16:09:05.988553"/>
    <n v="2999755"/>
    <s v="W2547016"/>
    <s v="005102 - Trivire"/>
    <d v="2025-12-09T00:00:00"/>
    <s v="Trivire_Tablis_rhiant.txt"/>
    <x v="1"/>
    <s v="NEE"/>
    <s v="80.0"/>
    <s v="De monteur heeft een defecte radiatorkraan vervangen. Radiatorkranen vallen buiten het contract, tenzij deze zich binnen 2 meter van de ketel bevinden. Uit de beschrijving blijkt niet dat de radiatorkraan binnen 2 meter van de ketel was geplaatst, dus deze werkzaamheden vallen buiten het contract."/>
    <s v="Radiatorkraan/knop vervangen valt buiten contract, zie tabel"/>
    <n v="1050315"/>
    <x v="0"/>
    <x v="0"/>
  </r>
  <r>
    <m/>
    <m/>
    <m/>
    <m/>
    <m/>
    <m/>
    <x v="3"/>
    <m/>
    <m/>
    <m/>
    <m/>
    <m/>
    <x v="2"/>
    <x v="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F99F2F3-E470-4ADF-A108-30FF5FADD652}" name="Draaitabel1" cacheId="5" applyNumberFormats="0" applyBorderFormats="0" applyFontFormats="0" applyPatternFormats="0" applyAlignmentFormats="0" applyWidthHeightFormats="1" dataCaption="Waarden" updatedVersion="8" minRefreshableVersion="3" useAutoFormatting="1" itemPrintTitles="1" createdVersion="8" indent="0" outline="1" outlineData="1" multipleFieldFilters="0">
  <location ref="A3:B15" firstHeaderRow="1" firstDataRow="1" firstDataCol="1" rowPageCount="1" colPageCount="1"/>
  <pivotFields count="14">
    <pivotField showAll="0"/>
    <pivotField showAll="0"/>
    <pivotField showAll="0"/>
    <pivotField showAll="0"/>
    <pivotField showAll="0"/>
    <pivotField showAll="0"/>
    <pivotField axis="axisRow" dataField="1" showAll="0">
      <items count="5">
        <item x="0"/>
        <item x="2"/>
        <item x="1"/>
        <item x="3"/>
        <item t="default"/>
      </items>
    </pivotField>
    <pivotField showAll="0"/>
    <pivotField showAll="0"/>
    <pivotField showAll="0"/>
    <pivotField showAll="0"/>
    <pivotField showAll="0"/>
    <pivotField axis="axisPage" multipleItemSelectionAllowed="1" showAll="0">
      <items count="13">
        <item x="8"/>
        <item x="6"/>
        <item x="4"/>
        <item x="1"/>
        <item x="5"/>
        <item x="7"/>
        <item x="10"/>
        <item x="11"/>
        <item x="9"/>
        <item x="3"/>
        <item h="1" x="0"/>
        <item x="2"/>
        <item t="default"/>
      </items>
    </pivotField>
    <pivotField axis="axisRow" showAll="0">
      <items count="5">
        <item x="1"/>
        <item x="2"/>
        <item x="0"/>
        <item x="3"/>
        <item t="default"/>
      </items>
    </pivotField>
  </pivotFields>
  <rowFields count="2">
    <field x="6"/>
    <field x="13"/>
  </rowFields>
  <rowItems count="12">
    <i>
      <x/>
    </i>
    <i r="1">
      <x/>
    </i>
    <i r="1">
      <x v="1"/>
    </i>
    <i>
      <x v="1"/>
    </i>
    <i r="1">
      <x/>
    </i>
    <i r="1">
      <x v="1"/>
    </i>
    <i>
      <x v="2"/>
    </i>
    <i r="1">
      <x/>
    </i>
    <i r="1">
      <x v="1"/>
    </i>
    <i>
      <x v="3"/>
    </i>
    <i r="1">
      <x v="3"/>
    </i>
    <i t="grand">
      <x/>
    </i>
  </rowItems>
  <colItems count="1">
    <i/>
  </colItems>
  <pageFields count="1">
    <pageField fld="12" hier="-1"/>
  </pageFields>
  <dataFields count="1">
    <dataField name="Aantal van classificatie" fld="6"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Kantoorthema">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417E9C-72C0-4E0B-BC5D-65CE78F391E5}">
  <dimension ref="A1:B19"/>
  <sheetViews>
    <sheetView workbookViewId="0">
      <selection activeCell="C11" sqref="C11"/>
    </sheetView>
  </sheetViews>
  <sheetFormatPr defaultRowHeight="15" x14ac:dyDescent="0.25"/>
  <cols>
    <col min="1" max="1" width="11.140625" bestFit="1" customWidth="1"/>
    <col min="2" max="2" width="21.85546875" bestFit="1" customWidth="1"/>
    <col min="3" max="3" width="22.85546875" bestFit="1" customWidth="1"/>
  </cols>
  <sheetData>
    <row r="1" spans="1:2" x14ac:dyDescent="0.25">
      <c r="A1" s="4" t="s">
        <v>143</v>
      </c>
      <c r="B1" t="s">
        <v>159</v>
      </c>
    </row>
    <row r="3" spans="1:2" x14ac:dyDescent="0.25">
      <c r="A3" s="4" t="s">
        <v>155</v>
      </c>
      <c r="B3" t="s">
        <v>158</v>
      </c>
    </row>
    <row r="4" spans="1:2" x14ac:dyDescent="0.25">
      <c r="A4" s="5" t="s">
        <v>15</v>
      </c>
      <c r="B4" s="7">
        <v>21</v>
      </c>
    </row>
    <row r="5" spans="1:2" x14ac:dyDescent="0.25">
      <c r="A5" s="6" t="s">
        <v>145</v>
      </c>
      <c r="B5" s="7">
        <v>3</v>
      </c>
    </row>
    <row r="6" spans="1:2" x14ac:dyDescent="0.25">
      <c r="A6" s="6" t="s">
        <v>146</v>
      </c>
      <c r="B6" s="7">
        <v>18</v>
      </c>
    </row>
    <row r="7" spans="1:2" x14ac:dyDescent="0.25">
      <c r="A7" s="5" t="s">
        <v>39</v>
      </c>
      <c r="B7" s="7">
        <v>6</v>
      </c>
    </row>
    <row r="8" spans="1:2" x14ac:dyDescent="0.25">
      <c r="A8" s="6" t="s">
        <v>145</v>
      </c>
      <c r="B8" s="7">
        <v>3</v>
      </c>
    </row>
    <row r="9" spans="1:2" x14ac:dyDescent="0.25">
      <c r="A9" s="6" t="s">
        <v>146</v>
      </c>
      <c r="B9" s="7">
        <v>3</v>
      </c>
    </row>
    <row r="10" spans="1:2" x14ac:dyDescent="0.25">
      <c r="A10" s="5" t="s">
        <v>20</v>
      </c>
      <c r="B10" s="7">
        <v>6</v>
      </c>
    </row>
    <row r="11" spans="1:2" x14ac:dyDescent="0.25">
      <c r="A11" s="6" t="s">
        <v>145</v>
      </c>
      <c r="B11" s="7">
        <v>4</v>
      </c>
    </row>
    <row r="12" spans="1:2" x14ac:dyDescent="0.25">
      <c r="A12" s="6" t="s">
        <v>146</v>
      </c>
      <c r="B12" s="7">
        <v>2</v>
      </c>
    </row>
    <row r="13" spans="1:2" x14ac:dyDescent="0.25">
      <c r="A13" s="5" t="s">
        <v>156</v>
      </c>
      <c r="B13" s="7"/>
    </row>
    <row r="14" spans="1:2" x14ac:dyDescent="0.25">
      <c r="A14" s="6" t="s">
        <v>156</v>
      </c>
      <c r="B14" s="7"/>
    </row>
    <row r="15" spans="1:2" x14ac:dyDescent="0.25">
      <c r="A15" s="5" t="s">
        <v>157</v>
      </c>
      <c r="B15" s="7">
        <v>33</v>
      </c>
    </row>
    <row r="18" spans="2:2" x14ac:dyDescent="0.25">
      <c r="B18">
        <f>GETPIVOTDATA("classificatie",$A$3,"classificatie","JA","bevinding","goed")+GETPIVOTDATA("classificatie",$A$3,"classificatie","NEE","bevinding","goed")+GETPIVOTDATA("classificatie",$A$3,"classificatie","TWIJFEL","bevinding","goed")</f>
        <v>23</v>
      </c>
    </row>
    <row r="19" spans="2:2" x14ac:dyDescent="0.25">
      <c r="B19" s="8">
        <f>B18/GETPIVOTDATA("classificatie",$A$3)</f>
        <v>0.69696969696969702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73853A-A7AF-4BA8-8FC7-205CE9EC3141}">
  <dimension ref="A1:N41"/>
  <sheetViews>
    <sheetView tabSelected="1" topLeftCell="B1" workbookViewId="0">
      <selection activeCell="M2" sqref="M2"/>
    </sheetView>
  </sheetViews>
  <sheetFormatPr defaultRowHeight="15" x14ac:dyDescent="0.25"/>
  <cols>
    <col min="1" max="1" width="25.7109375" bestFit="1" customWidth="1"/>
    <col min="2" max="2" width="12.28515625" bestFit="1" customWidth="1"/>
    <col min="3" max="3" width="13.85546875" bestFit="1" customWidth="1"/>
    <col min="4" max="4" width="14.140625" bestFit="1" customWidth="1"/>
    <col min="5" max="5" width="10.42578125" bestFit="1" customWidth="1"/>
    <col min="6" max="6" width="21.85546875" bestFit="1" customWidth="1"/>
    <col min="7" max="7" width="11.7109375" bestFit="1" customWidth="1"/>
    <col min="8" max="8" width="17.7109375" bestFit="1" customWidth="1"/>
    <col min="9" max="9" width="10.7109375" bestFit="1" customWidth="1"/>
    <col min="10" max="11" width="25.7109375" customWidth="1"/>
    <col min="12" max="12" width="6.5703125" customWidth="1"/>
    <col min="13" max="13" width="59.140625" bestFit="1" customWidth="1"/>
  </cols>
  <sheetData>
    <row r="1" spans="1:14" x14ac:dyDescent="0.25">
      <c r="A1" t="s">
        <v>0</v>
      </c>
      <c r="B1" t="s">
        <v>1</v>
      </c>
      <c r="C1" t="s">
        <v>2</v>
      </c>
      <c r="D1" t="s">
        <v>3</v>
      </c>
      <c r="E1" t="s">
        <v>4</v>
      </c>
      <c r="F1" t="s">
        <v>5</v>
      </c>
      <c r="G1" t="s">
        <v>6</v>
      </c>
      <c r="H1" t="s">
        <v>7</v>
      </c>
      <c r="I1" t="s">
        <v>8</v>
      </c>
      <c r="J1" t="s">
        <v>9</v>
      </c>
      <c r="K1" t="s">
        <v>10</v>
      </c>
      <c r="L1" t="s">
        <v>138</v>
      </c>
      <c r="M1" t="s">
        <v>143</v>
      </c>
      <c r="N1" t="s">
        <v>144</v>
      </c>
    </row>
    <row r="2" spans="1:14" x14ac:dyDescent="0.25">
      <c r="A2" t="s">
        <v>11</v>
      </c>
      <c r="B2">
        <v>3011594</v>
      </c>
      <c r="C2" t="s">
        <v>12</v>
      </c>
      <c r="D2" t="s">
        <v>13</v>
      </c>
      <c r="E2" s="1">
        <v>46010</v>
      </c>
      <c r="F2" t="s">
        <v>14</v>
      </c>
      <c r="G2" t="s">
        <v>15</v>
      </c>
      <c r="H2" t="s">
        <v>15</v>
      </c>
      <c r="I2" t="s">
        <v>16</v>
      </c>
      <c r="J2" t="s">
        <v>17</v>
      </c>
      <c r="K2" t="s">
        <v>18</v>
      </c>
      <c r="L2" s="2">
        <v>24244</v>
      </c>
      <c r="M2" t="s">
        <v>141</v>
      </c>
      <c r="N2" t="s">
        <v>154</v>
      </c>
    </row>
    <row r="3" spans="1:14" x14ac:dyDescent="0.25">
      <c r="A3" t="s">
        <v>11</v>
      </c>
      <c r="B3">
        <v>3010988</v>
      </c>
      <c r="C3" t="s">
        <v>19</v>
      </c>
      <c r="D3" t="s">
        <v>13</v>
      </c>
      <c r="E3" s="1">
        <v>46010</v>
      </c>
      <c r="F3" t="s">
        <v>14</v>
      </c>
      <c r="G3" t="s">
        <v>20</v>
      </c>
      <c r="H3" t="s">
        <v>15</v>
      </c>
      <c r="I3" t="s">
        <v>21</v>
      </c>
      <c r="J3" t="s">
        <v>22</v>
      </c>
      <c r="K3" t="s">
        <v>23</v>
      </c>
      <c r="L3" s="2">
        <v>729815</v>
      </c>
      <c r="M3" t="s">
        <v>150</v>
      </c>
      <c r="N3" t="s">
        <v>145</v>
      </c>
    </row>
    <row r="4" spans="1:14" x14ac:dyDescent="0.25">
      <c r="A4" t="s">
        <v>11</v>
      </c>
      <c r="B4">
        <v>3010931</v>
      </c>
      <c r="C4" t="s">
        <v>24</v>
      </c>
      <c r="D4" t="s">
        <v>13</v>
      </c>
      <c r="E4" s="1">
        <v>46009</v>
      </c>
      <c r="F4" t="s">
        <v>14</v>
      </c>
      <c r="G4" t="s">
        <v>15</v>
      </c>
      <c r="H4" t="s">
        <v>15</v>
      </c>
      <c r="I4" t="s">
        <v>16</v>
      </c>
      <c r="J4" t="s">
        <v>25</v>
      </c>
      <c r="K4" t="s">
        <v>26</v>
      </c>
      <c r="L4" s="2">
        <v>8947749999999990</v>
      </c>
      <c r="N4" t="s">
        <v>146</v>
      </c>
    </row>
    <row r="5" spans="1:14" x14ac:dyDescent="0.25">
      <c r="A5" t="s">
        <v>11</v>
      </c>
      <c r="B5">
        <v>3010648</v>
      </c>
      <c r="C5" t="s">
        <v>27</v>
      </c>
      <c r="D5" t="s">
        <v>13</v>
      </c>
      <c r="E5" s="1">
        <v>46009</v>
      </c>
      <c r="F5" t="s">
        <v>14</v>
      </c>
      <c r="G5" t="s">
        <v>15</v>
      </c>
      <c r="H5" t="s">
        <v>15</v>
      </c>
      <c r="I5" t="s">
        <v>28</v>
      </c>
      <c r="J5" t="s">
        <v>29</v>
      </c>
      <c r="K5" t="s">
        <v>30</v>
      </c>
      <c r="L5" s="2">
        <v>1.15994499999999E+16</v>
      </c>
      <c r="N5" t="s">
        <v>146</v>
      </c>
    </row>
    <row r="6" spans="1:14" x14ac:dyDescent="0.25">
      <c r="A6" t="s">
        <v>11</v>
      </c>
      <c r="B6">
        <v>3010631</v>
      </c>
      <c r="C6" t="s">
        <v>31</v>
      </c>
      <c r="D6" t="s">
        <v>13</v>
      </c>
      <c r="E6" s="1">
        <v>46009</v>
      </c>
      <c r="F6" t="s">
        <v>14</v>
      </c>
      <c r="G6" t="s">
        <v>15</v>
      </c>
      <c r="H6" t="s">
        <v>15</v>
      </c>
      <c r="I6" t="s">
        <v>16</v>
      </c>
      <c r="J6" t="s">
        <v>32</v>
      </c>
      <c r="K6" t="s">
        <v>33</v>
      </c>
      <c r="L6" s="2">
        <v>115716</v>
      </c>
      <c r="N6" t="s">
        <v>146</v>
      </c>
    </row>
    <row r="7" spans="1:14" x14ac:dyDescent="0.25">
      <c r="A7" t="s">
        <v>11</v>
      </c>
      <c r="B7">
        <v>3010455</v>
      </c>
      <c r="C7" t="s">
        <v>34</v>
      </c>
      <c r="D7" t="s">
        <v>13</v>
      </c>
      <c r="E7" s="1">
        <v>46009</v>
      </c>
      <c r="F7" t="s">
        <v>14</v>
      </c>
      <c r="G7" t="s">
        <v>15</v>
      </c>
      <c r="H7" t="s">
        <v>15</v>
      </c>
      <c r="I7" t="s">
        <v>16</v>
      </c>
      <c r="J7" t="s">
        <v>35</v>
      </c>
      <c r="K7" t="s">
        <v>36</v>
      </c>
      <c r="L7" t="s">
        <v>37</v>
      </c>
      <c r="N7" t="s">
        <v>146</v>
      </c>
    </row>
    <row r="8" spans="1:14" x14ac:dyDescent="0.25">
      <c r="A8" t="s">
        <v>11</v>
      </c>
      <c r="B8">
        <v>3009146</v>
      </c>
      <c r="C8" t="s">
        <v>38</v>
      </c>
      <c r="D8" t="s">
        <v>13</v>
      </c>
      <c r="E8" s="1">
        <v>46008</v>
      </c>
      <c r="F8" t="s">
        <v>14</v>
      </c>
      <c r="G8" t="s">
        <v>39</v>
      </c>
      <c r="H8" t="s">
        <v>39</v>
      </c>
      <c r="I8" t="s">
        <v>16</v>
      </c>
      <c r="J8" t="s">
        <v>40</v>
      </c>
      <c r="K8" t="s">
        <v>41</v>
      </c>
      <c r="L8" s="2">
        <v>99274</v>
      </c>
      <c r="M8" s="3" t="s">
        <v>149</v>
      </c>
      <c r="N8" t="s">
        <v>146</v>
      </c>
    </row>
    <row r="9" spans="1:14" x14ac:dyDescent="0.25">
      <c r="A9" t="s">
        <v>11</v>
      </c>
      <c r="B9">
        <v>3008669</v>
      </c>
      <c r="C9" t="s">
        <v>42</v>
      </c>
      <c r="D9" t="s">
        <v>13</v>
      </c>
      <c r="E9" s="1">
        <v>46008</v>
      </c>
      <c r="F9" t="s">
        <v>14</v>
      </c>
      <c r="G9" t="s">
        <v>15</v>
      </c>
      <c r="H9" t="s">
        <v>15</v>
      </c>
      <c r="I9" t="s">
        <v>16</v>
      </c>
      <c r="J9" t="s">
        <v>43</v>
      </c>
      <c r="K9" t="s">
        <v>44</v>
      </c>
      <c r="L9" s="2">
        <v>380425</v>
      </c>
      <c r="N9" t="s">
        <v>146</v>
      </c>
    </row>
    <row r="10" spans="1:14" x14ac:dyDescent="0.25">
      <c r="A10" t="s">
        <v>11</v>
      </c>
      <c r="B10">
        <v>3008692</v>
      </c>
      <c r="C10" t="s">
        <v>45</v>
      </c>
      <c r="D10" t="s">
        <v>13</v>
      </c>
      <c r="E10" s="1">
        <v>46008</v>
      </c>
      <c r="F10" t="s">
        <v>14</v>
      </c>
      <c r="G10" t="s">
        <v>39</v>
      </c>
      <c r="H10" t="s">
        <v>39</v>
      </c>
      <c r="I10" t="s">
        <v>16</v>
      </c>
      <c r="J10" t="s">
        <v>46</v>
      </c>
      <c r="K10" t="s">
        <v>47</v>
      </c>
      <c r="L10" s="2">
        <v>1.489295E+16</v>
      </c>
      <c r="M10" t="s">
        <v>141</v>
      </c>
      <c r="N10" t="s">
        <v>154</v>
      </c>
    </row>
    <row r="11" spans="1:14" x14ac:dyDescent="0.25">
      <c r="A11" t="s">
        <v>11</v>
      </c>
      <c r="B11">
        <v>3008701</v>
      </c>
      <c r="C11" t="s">
        <v>48</v>
      </c>
      <c r="D11" t="s">
        <v>13</v>
      </c>
      <c r="E11" s="1">
        <v>46008</v>
      </c>
      <c r="F11" t="s">
        <v>14</v>
      </c>
      <c r="G11" t="s">
        <v>39</v>
      </c>
      <c r="H11" t="s">
        <v>39</v>
      </c>
      <c r="I11" t="s">
        <v>16</v>
      </c>
      <c r="J11" t="s">
        <v>49</v>
      </c>
      <c r="K11" t="s">
        <v>50</v>
      </c>
      <c r="L11" s="2">
        <v>3.3846E+16</v>
      </c>
      <c r="M11" t="s">
        <v>141</v>
      </c>
      <c r="N11" t="s">
        <v>154</v>
      </c>
    </row>
    <row r="12" spans="1:14" x14ac:dyDescent="0.25">
      <c r="A12" t="s">
        <v>51</v>
      </c>
      <c r="B12">
        <v>3008478</v>
      </c>
      <c r="C12" t="s">
        <v>52</v>
      </c>
      <c r="D12" t="s">
        <v>13</v>
      </c>
      <c r="E12" s="1">
        <v>46007</v>
      </c>
      <c r="F12" t="s">
        <v>14</v>
      </c>
      <c r="G12" t="s">
        <v>15</v>
      </c>
      <c r="H12" t="s">
        <v>15</v>
      </c>
      <c r="I12" t="s">
        <v>16</v>
      </c>
      <c r="J12" t="s">
        <v>53</v>
      </c>
      <c r="K12" t="s">
        <v>54</v>
      </c>
      <c r="L12" s="2">
        <v>4086375</v>
      </c>
      <c r="N12" t="s">
        <v>146</v>
      </c>
    </row>
    <row r="13" spans="1:14" x14ac:dyDescent="0.25">
      <c r="A13" t="s">
        <v>51</v>
      </c>
      <c r="B13">
        <v>3008375</v>
      </c>
      <c r="C13" t="s">
        <v>55</v>
      </c>
      <c r="D13" t="s">
        <v>13</v>
      </c>
      <c r="E13" s="1">
        <v>46007</v>
      </c>
      <c r="F13" t="s">
        <v>14</v>
      </c>
      <c r="G13" t="s">
        <v>20</v>
      </c>
      <c r="H13" t="s">
        <v>15</v>
      </c>
      <c r="I13" t="s">
        <v>56</v>
      </c>
      <c r="J13" t="s">
        <v>57</v>
      </c>
      <c r="K13" t="s">
        <v>58</v>
      </c>
      <c r="L13" s="2">
        <v>5.1724999999999904E+16</v>
      </c>
      <c r="M13" t="s">
        <v>151</v>
      </c>
      <c r="N13" t="s">
        <v>145</v>
      </c>
    </row>
    <row r="14" spans="1:14" x14ac:dyDescent="0.25">
      <c r="A14" t="s">
        <v>51</v>
      </c>
      <c r="B14">
        <v>3008294</v>
      </c>
      <c r="C14" t="s">
        <v>59</v>
      </c>
      <c r="D14" t="s">
        <v>13</v>
      </c>
      <c r="E14" s="1">
        <v>46007</v>
      </c>
      <c r="F14" t="s">
        <v>14</v>
      </c>
      <c r="G14" t="s">
        <v>15</v>
      </c>
      <c r="H14" t="s">
        <v>15</v>
      </c>
      <c r="I14" t="s">
        <v>16</v>
      </c>
      <c r="J14" t="s">
        <v>60</v>
      </c>
      <c r="K14" t="s">
        <v>58</v>
      </c>
      <c r="L14" s="2">
        <v>2.18329999999999E+16</v>
      </c>
      <c r="M14" t="s">
        <v>141</v>
      </c>
      <c r="N14" t="s">
        <v>154</v>
      </c>
    </row>
    <row r="15" spans="1:14" x14ac:dyDescent="0.25">
      <c r="A15" t="s">
        <v>51</v>
      </c>
      <c r="B15">
        <v>3008071</v>
      </c>
      <c r="C15" t="s">
        <v>61</v>
      </c>
      <c r="D15" t="s">
        <v>13</v>
      </c>
      <c r="E15" s="1">
        <v>46007</v>
      </c>
      <c r="F15" t="s">
        <v>14</v>
      </c>
      <c r="G15" t="s">
        <v>15</v>
      </c>
      <c r="H15" t="s">
        <v>15</v>
      </c>
      <c r="I15" t="s">
        <v>16</v>
      </c>
      <c r="J15" t="s">
        <v>62</v>
      </c>
      <c r="K15" t="s">
        <v>63</v>
      </c>
      <c r="L15" s="2">
        <v>2962375</v>
      </c>
      <c r="M15" t="s">
        <v>139</v>
      </c>
      <c r="N15" t="s">
        <v>145</v>
      </c>
    </row>
    <row r="16" spans="1:14" x14ac:dyDescent="0.25">
      <c r="A16" t="s">
        <v>51</v>
      </c>
      <c r="B16">
        <v>3007972</v>
      </c>
      <c r="C16" t="s">
        <v>64</v>
      </c>
      <c r="D16" t="s">
        <v>13</v>
      </c>
      <c r="E16" s="1">
        <v>46007</v>
      </c>
      <c r="F16" t="s">
        <v>14</v>
      </c>
      <c r="G16" t="s">
        <v>15</v>
      </c>
      <c r="H16" t="s">
        <v>15</v>
      </c>
      <c r="I16" t="s">
        <v>16</v>
      </c>
      <c r="J16" t="s">
        <v>65</v>
      </c>
      <c r="K16" t="s">
        <v>66</v>
      </c>
      <c r="L16" s="2">
        <v>2.10765E+16</v>
      </c>
      <c r="N16" t="s">
        <v>146</v>
      </c>
    </row>
    <row r="17" spans="1:14" x14ac:dyDescent="0.25">
      <c r="A17" t="s">
        <v>51</v>
      </c>
      <c r="B17">
        <v>3007818</v>
      </c>
      <c r="C17" t="s">
        <v>67</v>
      </c>
      <c r="D17" t="s">
        <v>13</v>
      </c>
      <c r="E17" s="1">
        <v>46007</v>
      </c>
      <c r="F17" t="s">
        <v>14</v>
      </c>
      <c r="G17" t="s">
        <v>15</v>
      </c>
      <c r="H17" t="s">
        <v>15</v>
      </c>
      <c r="I17" t="s">
        <v>16</v>
      </c>
      <c r="J17" t="s">
        <v>68</v>
      </c>
      <c r="K17" t="s">
        <v>69</v>
      </c>
      <c r="L17" s="2">
        <v>49943</v>
      </c>
      <c r="N17" t="s">
        <v>146</v>
      </c>
    </row>
    <row r="18" spans="1:14" x14ac:dyDescent="0.25">
      <c r="A18" t="s">
        <v>51</v>
      </c>
      <c r="B18">
        <v>3007693</v>
      </c>
      <c r="C18" t="s">
        <v>70</v>
      </c>
      <c r="D18" t="s">
        <v>13</v>
      </c>
      <c r="E18" s="1">
        <v>46007</v>
      </c>
      <c r="F18" t="s">
        <v>14</v>
      </c>
      <c r="G18" t="s">
        <v>15</v>
      </c>
      <c r="H18" t="s">
        <v>15</v>
      </c>
      <c r="I18" t="s">
        <v>16</v>
      </c>
      <c r="J18" t="s">
        <v>71</v>
      </c>
      <c r="K18" t="s">
        <v>72</v>
      </c>
      <c r="L18" s="2">
        <v>1.47154999999999E+16</v>
      </c>
      <c r="M18" t="s">
        <v>142</v>
      </c>
      <c r="N18" t="s">
        <v>145</v>
      </c>
    </row>
    <row r="19" spans="1:14" x14ac:dyDescent="0.25">
      <c r="A19" t="s">
        <v>51</v>
      </c>
      <c r="B19">
        <v>3004000</v>
      </c>
      <c r="C19" t="s">
        <v>73</v>
      </c>
      <c r="D19" t="s">
        <v>13</v>
      </c>
      <c r="E19" s="1">
        <v>46006</v>
      </c>
      <c r="F19" t="s">
        <v>14</v>
      </c>
      <c r="G19" t="s">
        <v>20</v>
      </c>
      <c r="H19" t="s">
        <v>15</v>
      </c>
      <c r="I19" t="s">
        <v>56</v>
      </c>
      <c r="J19" t="s">
        <v>74</v>
      </c>
      <c r="K19" t="s">
        <v>75</v>
      </c>
      <c r="L19" s="2">
        <v>327705</v>
      </c>
      <c r="M19" t="s">
        <v>151</v>
      </c>
      <c r="N19" t="s">
        <v>145</v>
      </c>
    </row>
    <row r="20" spans="1:14" x14ac:dyDescent="0.25">
      <c r="A20" t="s">
        <v>51</v>
      </c>
      <c r="B20">
        <v>3003433</v>
      </c>
      <c r="C20" t="s">
        <v>76</v>
      </c>
      <c r="D20" t="s">
        <v>13</v>
      </c>
      <c r="E20" s="1">
        <v>46006</v>
      </c>
      <c r="F20" t="s">
        <v>14</v>
      </c>
      <c r="G20" t="s">
        <v>39</v>
      </c>
      <c r="H20" t="s">
        <v>39</v>
      </c>
      <c r="I20" t="s">
        <v>16</v>
      </c>
      <c r="J20" t="s">
        <v>77</v>
      </c>
      <c r="K20" t="s">
        <v>78</v>
      </c>
      <c r="L20" s="2">
        <v>132277</v>
      </c>
      <c r="M20" t="s">
        <v>147</v>
      </c>
      <c r="N20" t="s">
        <v>145</v>
      </c>
    </row>
    <row r="21" spans="1:14" x14ac:dyDescent="0.25">
      <c r="A21" t="s">
        <v>51</v>
      </c>
      <c r="B21">
        <v>3003676</v>
      </c>
      <c r="C21" t="s">
        <v>79</v>
      </c>
      <c r="D21" t="s">
        <v>13</v>
      </c>
      <c r="E21" s="1">
        <v>46006</v>
      </c>
      <c r="F21" t="s">
        <v>14</v>
      </c>
      <c r="G21" t="s">
        <v>15</v>
      </c>
      <c r="H21" t="s">
        <v>15</v>
      </c>
      <c r="I21" t="s">
        <v>16</v>
      </c>
      <c r="J21" t="s">
        <v>80</v>
      </c>
      <c r="K21" t="s">
        <v>81</v>
      </c>
      <c r="L21" s="2">
        <v>373255</v>
      </c>
      <c r="N21" t="s">
        <v>146</v>
      </c>
    </row>
    <row r="22" spans="1:14" x14ac:dyDescent="0.25">
      <c r="A22" t="s">
        <v>82</v>
      </c>
      <c r="B22">
        <v>3003244</v>
      </c>
      <c r="C22" t="s">
        <v>83</v>
      </c>
      <c r="D22" t="s">
        <v>13</v>
      </c>
      <c r="E22" s="1">
        <v>46004</v>
      </c>
      <c r="F22" t="s">
        <v>14</v>
      </c>
      <c r="G22" t="s">
        <v>15</v>
      </c>
      <c r="H22" t="s">
        <v>15</v>
      </c>
      <c r="I22" t="s">
        <v>16</v>
      </c>
      <c r="J22" t="s">
        <v>84</v>
      </c>
      <c r="K22" t="s">
        <v>58</v>
      </c>
      <c r="L22" s="2">
        <v>184164</v>
      </c>
      <c r="N22" t="s">
        <v>146</v>
      </c>
    </row>
    <row r="23" spans="1:14" x14ac:dyDescent="0.25">
      <c r="A23" t="s">
        <v>82</v>
      </c>
      <c r="B23">
        <v>3003238</v>
      </c>
      <c r="C23" t="s">
        <v>85</v>
      </c>
      <c r="D23" t="s">
        <v>13</v>
      </c>
      <c r="E23" s="1">
        <v>46004</v>
      </c>
      <c r="F23" t="s">
        <v>14</v>
      </c>
      <c r="G23" t="s">
        <v>15</v>
      </c>
      <c r="H23" t="s">
        <v>15</v>
      </c>
      <c r="I23" t="s">
        <v>16</v>
      </c>
      <c r="J23" t="s">
        <v>86</v>
      </c>
      <c r="K23" t="s">
        <v>58</v>
      </c>
      <c r="L23" s="2">
        <v>120458</v>
      </c>
      <c r="N23" t="s">
        <v>146</v>
      </c>
    </row>
    <row r="24" spans="1:14" x14ac:dyDescent="0.25">
      <c r="A24" t="s">
        <v>82</v>
      </c>
      <c r="B24">
        <v>3003236</v>
      </c>
      <c r="C24" t="s">
        <v>87</v>
      </c>
      <c r="D24" t="s">
        <v>13</v>
      </c>
      <c r="E24" s="1">
        <v>46004</v>
      </c>
      <c r="F24" t="s">
        <v>14</v>
      </c>
      <c r="G24" t="s">
        <v>15</v>
      </c>
      <c r="H24" t="s">
        <v>15</v>
      </c>
      <c r="I24" t="s">
        <v>16</v>
      </c>
      <c r="J24" t="s">
        <v>88</v>
      </c>
      <c r="K24" t="s">
        <v>58</v>
      </c>
      <c r="L24" s="2">
        <v>62891</v>
      </c>
      <c r="N24" t="s">
        <v>146</v>
      </c>
    </row>
    <row r="25" spans="1:14" x14ac:dyDescent="0.25">
      <c r="A25" t="s">
        <v>82</v>
      </c>
      <c r="B25">
        <v>3003235</v>
      </c>
      <c r="C25" t="s">
        <v>89</v>
      </c>
      <c r="D25" t="s">
        <v>13</v>
      </c>
      <c r="E25" s="1">
        <v>46004</v>
      </c>
      <c r="F25" t="s">
        <v>14</v>
      </c>
      <c r="G25" t="s">
        <v>15</v>
      </c>
      <c r="H25" t="s">
        <v>15</v>
      </c>
      <c r="I25" t="s">
        <v>28</v>
      </c>
      <c r="J25" t="s">
        <v>90</v>
      </c>
      <c r="K25" t="s">
        <v>58</v>
      </c>
      <c r="L25" s="2">
        <v>8812049999999990</v>
      </c>
      <c r="N25" t="s">
        <v>146</v>
      </c>
    </row>
    <row r="26" spans="1:14" x14ac:dyDescent="0.25">
      <c r="A26" t="s">
        <v>82</v>
      </c>
      <c r="B26">
        <v>3003234</v>
      </c>
      <c r="C26" t="s">
        <v>91</v>
      </c>
      <c r="D26" t="s">
        <v>13</v>
      </c>
      <c r="E26" s="1">
        <v>46004</v>
      </c>
      <c r="F26" t="s">
        <v>14</v>
      </c>
      <c r="G26" t="s">
        <v>15</v>
      </c>
      <c r="H26" t="s">
        <v>15</v>
      </c>
      <c r="I26" t="s">
        <v>16</v>
      </c>
      <c r="J26" t="s">
        <v>92</v>
      </c>
      <c r="K26" t="s">
        <v>58</v>
      </c>
      <c r="L26" s="2">
        <v>1.105525E+16</v>
      </c>
      <c r="N26" t="s">
        <v>146</v>
      </c>
    </row>
    <row r="27" spans="1:14" x14ac:dyDescent="0.25">
      <c r="A27" t="s">
        <v>82</v>
      </c>
      <c r="B27">
        <v>3003226</v>
      </c>
      <c r="C27" t="s">
        <v>93</v>
      </c>
      <c r="D27" t="s">
        <v>13</v>
      </c>
      <c r="E27" s="1">
        <v>46003</v>
      </c>
      <c r="F27" t="s">
        <v>14</v>
      </c>
      <c r="G27" t="s">
        <v>39</v>
      </c>
      <c r="H27" t="s">
        <v>39</v>
      </c>
      <c r="I27" t="s">
        <v>16</v>
      </c>
      <c r="J27" t="s">
        <v>94</v>
      </c>
      <c r="K27" t="s">
        <v>26</v>
      </c>
      <c r="L27" s="2">
        <v>67938</v>
      </c>
      <c r="N27" t="s">
        <v>146</v>
      </c>
    </row>
    <row r="28" spans="1:14" x14ac:dyDescent="0.25">
      <c r="A28" t="s">
        <v>82</v>
      </c>
      <c r="B28">
        <v>3003200</v>
      </c>
      <c r="C28" t="s">
        <v>95</v>
      </c>
      <c r="D28" t="s">
        <v>13</v>
      </c>
      <c r="E28" s="1">
        <v>46003</v>
      </c>
      <c r="F28" t="s">
        <v>14</v>
      </c>
      <c r="G28" t="s">
        <v>15</v>
      </c>
      <c r="H28" t="s">
        <v>15</v>
      </c>
      <c r="I28" t="s">
        <v>16</v>
      </c>
      <c r="J28" t="s">
        <v>96</v>
      </c>
      <c r="K28" t="s">
        <v>58</v>
      </c>
      <c r="L28" s="2">
        <v>21847</v>
      </c>
      <c r="N28" t="s">
        <v>146</v>
      </c>
    </row>
    <row r="29" spans="1:14" x14ac:dyDescent="0.25">
      <c r="A29" t="s">
        <v>82</v>
      </c>
      <c r="B29">
        <v>3003090</v>
      </c>
      <c r="C29" t="s">
        <v>97</v>
      </c>
      <c r="D29" t="s">
        <v>13</v>
      </c>
      <c r="E29" s="1">
        <v>46003</v>
      </c>
      <c r="F29" t="s">
        <v>14</v>
      </c>
      <c r="G29" t="s">
        <v>20</v>
      </c>
      <c r="H29" t="s">
        <v>15</v>
      </c>
      <c r="I29" t="s">
        <v>56</v>
      </c>
      <c r="J29" t="s">
        <v>98</v>
      </c>
      <c r="K29" t="s">
        <v>99</v>
      </c>
      <c r="L29" s="2">
        <v>172857</v>
      </c>
      <c r="M29" t="s">
        <v>152</v>
      </c>
      <c r="N29" t="s">
        <v>146</v>
      </c>
    </row>
    <row r="30" spans="1:14" x14ac:dyDescent="0.25">
      <c r="A30" t="s">
        <v>82</v>
      </c>
      <c r="B30">
        <v>3002902</v>
      </c>
      <c r="C30" t="s">
        <v>100</v>
      </c>
      <c r="D30" t="s">
        <v>13</v>
      </c>
      <c r="E30" s="1">
        <v>46003</v>
      </c>
      <c r="F30" t="s">
        <v>14</v>
      </c>
      <c r="G30" t="s">
        <v>20</v>
      </c>
      <c r="H30" t="s">
        <v>39</v>
      </c>
      <c r="I30" t="s">
        <v>56</v>
      </c>
      <c r="J30" t="s">
        <v>101</v>
      </c>
      <c r="K30" t="s">
        <v>102</v>
      </c>
      <c r="L30" s="2">
        <v>1.07340499999999E+16</v>
      </c>
      <c r="M30" t="s">
        <v>151</v>
      </c>
      <c r="N30" t="s">
        <v>145</v>
      </c>
    </row>
    <row r="31" spans="1:14" x14ac:dyDescent="0.25">
      <c r="A31" t="s">
        <v>82</v>
      </c>
      <c r="B31">
        <v>3002707</v>
      </c>
      <c r="C31" t="s">
        <v>103</v>
      </c>
      <c r="D31" t="s">
        <v>13</v>
      </c>
      <c r="E31" s="1">
        <v>46003</v>
      </c>
      <c r="F31" t="s">
        <v>14</v>
      </c>
      <c r="G31" t="s">
        <v>20</v>
      </c>
      <c r="H31" t="s">
        <v>39</v>
      </c>
      <c r="I31" t="s">
        <v>56</v>
      </c>
      <c r="J31" t="s">
        <v>104</v>
      </c>
      <c r="K31" t="s">
        <v>105</v>
      </c>
      <c r="L31" t="s">
        <v>106</v>
      </c>
      <c r="M31" t="s">
        <v>153</v>
      </c>
      <c r="N31" t="s">
        <v>146</v>
      </c>
    </row>
    <row r="32" spans="1:14" x14ac:dyDescent="0.25">
      <c r="A32" t="s">
        <v>107</v>
      </c>
      <c r="B32">
        <v>3001438</v>
      </c>
      <c r="C32" t="s">
        <v>108</v>
      </c>
      <c r="D32" t="s">
        <v>13</v>
      </c>
      <c r="E32" s="1">
        <v>46001</v>
      </c>
      <c r="F32" t="s">
        <v>14</v>
      </c>
      <c r="G32" t="s">
        <v>15</v>
      </c>
      <c r="H32" t="s">
        <v>15</v>
      </c>
      <c r="I32" t="s">
        <v>16</v>
      </c>
      <c r="J32" t="s">
        <v>109</v>
      </c>
      <c r="K32" t="s">
        <v>110</v>
      </c>
      <c r="L32" s="2">
        <v>4.08953E+16</v>
      </c>
      <c r="N32" t="s">
        <v>146</v>
      </c>
    </row>
    <row r="33" spans="1:14" x14ac:dyDescent="0.25">
      <c r="A33" t="s">
        <v>107</v>
      </c>
      <c r="B33">
        <v>3001034</v>
      </c>
      <c r="C33" t="s">
        <v>111</v>
      </c>
      <c r="D33" t="s">
        <v>13</v>
      </c>
      <c r="E33" s="1">
        <v>46001</v>
      </c>
      <c r="F33" t="s">
        <v>14</v>
      </c>
      <c r="G33" t="s">
        <v>39</v>
      </c>
      <c r="H33" t="s">
        <v>39</v>
      </c>
      <c r="I33" t="s">
        <v>16</v>
      </c>
      <c r="J33" t="s">
        <v>112</v>
      </c>
      <c r="K33" t="s">
        <v>113</v>
      </c>
      <c r="L33" s="2">
        <v>9745349999999990</v>
      </c>
      <c r="M33" t="s">
        <v>148</v>
      </c>
      <c r="N33" t="s">
        <v>146</v>
      </c>
    </row>
    <row r="34" spans="1:14" x14ac:dyDescent="0.25">
      <c r="A34" t="s">
        <v>107</v>
      </c>
      <c r="B34">
        <v>3000917</v>
      </c>
      <c r="C34" t="s">
        <v>114</v>
      </c>
      <c r="D34" t="s">
        <v>13</v>
      </c>
      <c r="E34" s="1">
        <v>46001</v>
      </c>
      <c r="F34" t="s">
        <v>14</v>
      </c>
      <c r="G34" t="s">
        <v>15</v>
      </c>
      <c r="H34" t="s">
        <v>15</v>
      </c>
      <c r="I34" t="s">
        <v>16</v>
      </c>
      <c r="J34" t="s">
        <v>115</v>
      </c>
      <c r="K34" t="s">
        <v>116</v>
      </c>
      <c r="L34" s="2">
        <v>47881</v>
      </c>
      <c r="M34" t="s">
        <v>141</v>
      </c>
      <c r="N34" t="s">
        <v>154</v>
      </c>
    </row>
    <row r="35" spans="1:14" x14ac:dyDescent="0.25">
      <c r="A35" t="s">
        <v>107</v>
      </c>
      <c r="B35">
        <v>3000802</v>
      </c>
      <c r="C35" t="s">
        <v>117</v>
      </c>
      <c r="D35" t="s">
        <v>13</v>
      </c>
      <c r="E35" s="1">
        <v>46001</v>
      </c>
      <c r="F35" t="s">
        <v>14</v>
      </c>
      <c r="G35" t="s">
        <v>39</v>
      </c>
      <c r="H35" t="s">
        <v>39</v>
      </c>
      <c r="I35" t="s">
        <v>16</v>
      </c>
      <c r="J35" t="s">
        <v>118</v>
      </c>
      <c r="K35" t="s">
        <v>119</v>
      </c>
      <c r="L35" s="2">
        <v>1179865</v>
      </c>
      <c r="M35" t="s">
        <v>147</v>
      </c>
      <c r="N35" t="s">
        <v>145</v>
      </c>
    </row>
    <row r="36" spans="1:14" x14ac:dyDescent="0.25">
      <c r="A36" t="s">
        <v>107</v>
      </c>
      <c r="B36">
        <v>3000775</v>
      </c>
      <c r="C36" t="s">
        <v>120</v>
      </c>
      <c r="D36" t="s">
        <v>13</v>
      </c>
      <c r="E36" s="1">
        <v>46001</v>
      </c>
      <c r="F36" t="s">
        <v>14</v>
      </c>
      <c r="G36" t="s">
        <v>39</v>
      </c>
      <c r="H36" t="s">
        <v>39</v>
      </c>
      <c r="I36" t="s">
        <v>16</v>
      </c>
      <c r="J36" t="s">
        <v>121</v>
      </c>
      <c r="K36" t="s">
        <v>122</v>
      </c>
      <c r="L36" s="2">
        <v>5.137E+16</v>
      </c>
      <c r="M36" t="s">
        <v>147</v>
      </c>
      <c r="N36" t="s">
        <v>145</v>
      </c>
    </row>
    <row r="37" spans="1:14" x14ac:dyDescent="0.25">
      <c r="A37" t="s">
        <v>107</v>
      </c>
      <c r="B37">
        <v>3000716</v>
      </c>
      <c r="C37" t="s">
        <v>123</v>
      </c>
      <c r="D37" t="s">
        <v>13</v>
      </c>
      <c r="E37" s="1">
        <v>46001</v>
      </c>
      <c r="F37" t="s">
        <v>14</v>
      </c>
      <c r="G37" t="s">
        <v>39</v>
      </c>
      <c r="H37" t="s">
        <v>39</v>
      </c>
      <c r="I37" t="s">
        <v>16</v>
      </c>
      <c r="J37" t="s">
        <v>124</v>
      </c>
      <c r="K37" t="s">
        <v>125</v>
      </c>
      <c r="L37" s="2">
        <v>101791</v>
      </c>
      <c r="M37" t="s">
        <v>141</v>
      </c>
      <c r="N37" t="s">
        <v>154</v>
      </c>
    </row>
    <row r="38" spans="1:14" x14ac:dyDescent="0.25">
      <c r="A38" t="s">
        <v>107</v>
      </c>
      <c r="B38">
        <v>2999714</v>
      </c>
      <c r="C38" t="s">
        <v>126</v>
      </c>
      <c r="D38" t="s">
        <v>13</v>
      </c>
      <c r="E38" s="1">
        <v>46000</v>
      </c>
      <c r="F38" t="s">
        <v>14</v>
      </c>
      <c r="G38" t="s">
        <v>15</v>
      </c>
      <c r="H38" t="s">
        <v>15</v>
      </c>
      <c r="I38" t="s">
        <v>16</v>
      </c>
      <c r="J38" t="s">
        <v>127</v>
      </c>
      <c r="K38" t="s">
        <v>128</v>
      </c>
      <c r="L38" s="2">
        <v>878977</v>
      </c>
      <c r="N38" t="s">
        <v>146</v>
      </c>
    </row>
    <row r="39" spans="1:14" x14ac:dyDescent="0.25">
      <c r="A39" t="s">
        <v>107</v>
      </c>
      <c r="B39">
        <v>2999322</v>
      </c>
      <c r="C39" t="s">
        <v>129</v>
      </c>
      <c r="D39" t="s">
        <v>13</v>
      </c>
      <c r="E39" s="1">
        <v>46000</v>
      </c>
      <c r="F39" t="s">
        <v>14</v>
      </c>
      <c r="G39" t="s">
        <v>15</v>
      </c>
      <c r="H39" t="s">
        <v>15</v>
      </c>
      <c r="I39" t="s">
        <v>16</v>
      </c>
      <c r="J39" t="s">
        <v>130</v>
      </c>
      <c r="K39" t="s">
        <v>131</v>
      </c>
      <c r="L39" t="s">
        <v>132</v>
      </c>
      <c r="N39" t="s">
        <v>146</v>
      </c>
    </row>
    <row r="40" spans="1:14" x14ac:dyDescent="0.25">
      <c r="A40" t="s">
        <v>107</v>
      </c>
      <c r="B40">
        <v>2999548</v>
      </c>
      <c r="C40" t="s">
        <v>133</v>
      </c>
      <c r="D40" t="s">
        <v>13</v>
      </c>
      <c r="E40" s="1">
        <v>46000</v>
      </c>
      <c r="F40" t="s">
        <v>14</v>
      </c>
      <c r="G40" t="s">
        <v>15</v>
      </c>
      <c r="H40" t="s">
        <v>15</v>
      </c>
      <c r="I40" t="s">
        <v>16</v>
      </c>
      <c r="J40" t="s">
        <v>134</v>
      </c>
      <c r="K40" t="s">
        <v>58</v>
      </c>
      <c r="L40" s="2">
        <v>831705</v>
      </c>
      <c r="M40" t="s">
        <v>140</v>
      </c>
      <c r="N40" t="s">
        <v>145</v>
      </c>
    </row>
    <row r="41" spans="1:14" x14ac:dyDescent="0.25">
      <c r="A41" t="s">
        <v>107</v>
      </c>
      <c r="B41">
        <v>2999755</v>
      </c>
      <c r="C41" t="s">
        <v>135</v>
      </c>
      <c r="D41" t="s">
        <v>13</v>
      </c>
      <c r="E41" s="1">
        <v>46000</v>
      </c>
      <c r="F41" t="s">
        <v>14</v>
      </c>
      <c r="G41" t="s">
        <v>20</v>
      </c>
      <c r="H41" t="s">
        <v>39</v>
      </c>
      <c r="I41" t="s">
        <v>56</v>
      </c>
      <c r="J41" t="s">
        <v>136</v>
      </c>
      <c r="K41" t="s">
        <v>137</v>
      </c>
      <c r="L41" s="2">
        <v>1050315</v>
      </c>
      <c r="M41" t="s">
        <v>141</v>
      </c>
      <c r="N41" t="s">
        <v>154</v>
      </c>
    </row>
  </sheetData>
  <autoFilter ref="A1:N41" xr:uid="{B573853A-A7AF-4BA8-8FC7-205CE9EC314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Werkbladen</vt:lpstr>
      </vt:variant>
      <vt:variant>
        <vt:i4>2</vt:i4>
      </vt:variant>
    </vt:vector>
  </HeadingPairs>
  <TitlesOfParts>
    <vt:vector size="2" baseType="lpstr">
      <vt:lpstr>Blad1</vt:lpstr>
      <vt:lpstr>classificatie_geschiedenis_v2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Gerrit Smits</dc:creator>
  <cp:lastModifiedBy>Gerrit Smits</cp:lastModifiedBy>
  <dcterms:created xsi:type="dcterms:W3CDTF">2026-02-10T16:13:42Z</dcterms:created>
  <dcterms:modified xsi:type="dcterms:W3CDTF">2026-02-11T08:53:58Z</dcterms:modified>
</cp:coreProperties>
</file>